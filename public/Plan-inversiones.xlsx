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ejandroFinol\Downloads\"/>
    </mc:Choice>
  </mc:AlternateContent>
  <xr:revisionPtr revIDLastSave="0" documentId="13_ncr:1_{404D5823-B4F3-4000-95B3-0D645927395C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Estrategias" sheetId="1" r:id="rId1"/>
    <sheet name="IC" sheetId="2" r:id="rId2"/>
  </sheets>
  <definedNames>
    <definedName name="Fechas_2026" localSheetId="0">Estrategias!$D$2:$D$59</definedName>
    <definedName name="Fechas_2026" localSheetId="1">IC!$D$2:$D$59</definedName>
    <definedName name="Valores_2026" localSheetId="0">Estrategias!$F$2:$F$59</definedName>
    <definedName name="Valores_2026" localSheetId="1">IC!$F$2:$F$59</definedName>
  </definedNames>
  <calcPr calcId="191029"/>
</workbook>
</file>

<file path=xl/calcChain.xml><?xml version="1.0" encoding="utf-8"?>
<calcChain xmlns="http://schemas.openxmlformats.org/spreadsheetml/2006/main">
  <c r="M9" i="2" l="1"/>
  <c r="M8" i="2"/>
  <c r="E3" i="1"/>
  <c r="F3" i="1" s="1"/>
  <c r="L16" i="2"/>
  <c r="L17" i="2" s="1"/>
  <c r="D4" i="2"/>
  <c r="D60" i="2"/>
  <c r="A60" i="2"/>
  <c r="D59" i="2"/>
  <c r="A59" i="2"/>
  <c r="D58" i="2"/>
  <c r="A58" i="2"/>
  <c r="D57" i="2"/>
  <c r="A57" i="2"/>
  <c r="D56" i="2"/>
  <c r="A56" i="2"/>
  <c r="D55" i="2"/>
  <c r="A55" i="2"/>
  <c r="D54" i="2"/>
  <c r="A54" i="2"/>
  <c r="D53" i="2"/>
  <c r="A53" i="2"/>
  <c r="D52" i="2"/>
  <c r="A52" i="2"/>
  <c r="D51" i="2"/>
  <c r="A51" i="2"/>
  <c r="D50" i="2"/>
  <c r="A50" i="2"/>
  <c r="D49" i="2"/>
  <c r="A49" i="2"/>
  <c r="D48" i="2"/>
  <c r="A48" i="2"/>
  <c r="D47" i="2"/>
  <c r="A47" i="2"/>
  <c r="D46" i="2"/>
  <c r="A46" i="2"/>
  <c r="D45" i="2"/>
  <c r="A45" i="2"/>
  <c r="D44" i="2"/>
  <c r="A44" i="2"/>
  <c r="D43" i="2"/>
  <c r="A43" i="2"/>
  <c r="D42" i="2"/>
  <c r="A42" i="2"/>
  <c r="D41" i="2"/>
  <c r="A41" i="2"/>
  <c r="D40" i="2"/>
  <c r="A40" i="2"/>
  <c r="D39" i="2"/>
  <c r="A39" i="2"/>
  <c r="D38" i="2"/>
  <c r="A38" i="2"/>
  <c r="D37" i="2"/>
  <c r="A37" i="2"/>
  <c r="D36" i="2"/>
  <c r="A36" i="2"/>
  <c r="D35" i="2"/>
  <c r="A35" i="2"/>
  <c r="D34" i="2"/>
  <c r="A34" i="2"/>
  <c r="D33" i="2"/>
  <c r="A33" i="2"/>
  <c r="D32" i="2"/>
  <c r="A32" i="2"/>
  <c r="D31" i="2"/>
  <c r="A31" i="2"/>
  <c r="D30" i="2"/>
  <c r="A30" i="2"/>
  <c r="D29" i="2"/>
  <c r="A29" i="2"/>
  <c r="D28" i="2"/>
  <c r="A28" i="2"/>
  <c r="D27" i="2"/>
  <c r="A27" i="2"/>
  <c r="D26" i="2"/>
  <c r="A26" i="2"/>
  <c r="D25" i="2"/>
  <c r="A25" i="2"/>
  <c r="D24" i="2"/>
  <c r="A24" i="2"/>
  <c r="D23" i="2"/>
  <c r="A23" i="2"/>
  <c r="D22" i="2"/>
  <c r="A22" i="2"/>
  <c r="D21" i="2"/>
  <c r="A21" i="2"/>
  <c r="D20" i="2"/>
  <c r="A20" i="2"/>
  <c r="D19" i="2"/>
  <c r="A19" i="2"/>
  <c r="D18" i="2"/>
  <c r="A18" i="2"/>
  <c r="D17" i="2"/>
  <c r="A17" i="2"/>
  <c r="D16" i="2"/>
  <c r="A16" i="2"/>
  <c r="D15" i="2"/>
  <c r="A15" i="2"/>
  <c r="D14" i="2"/>
  <c r="A14" i="2"/>
  <c r="D13" i="2"/>
  <c r="A13" i="2"/>
  <c r="D12" i="2"/>
  <c r="A12" i="2"/>
  <c r="D11" i="2"/>
  <c r="A11" i="2"/>
  <c r="D10" i="2"/>
  <c r="A10" i="2"/>
  <c r="D9" i="2"/>
  <c r="A9" i="2"/>
  <c r="D8" i="2"/>
  <c r="A8" i="2"/>
  <c r="D7" i="2"/>
  <c r="A7" i="2"/>
  <c r="D6" i="2"/>
  <c r="A6" i="2"/>
  <c r="D5" i="2"/>
  <c r="A5" i="2"/>
  <c r="A4" i="2"/>
  <c r="E3" i="2"/>
  <c r="F3" i="2" s="1"/>
  <c r="D3" i="2"/>
  <c r="A3" i="2"/>
  <c r="D5" i="1"/>
  <c r="D60" i="1"/>
  <c r="A60" i="1"/>
  <c r="D59" i="1"/>
  <c r="A59" i="1"/>
  <c r="D58" i="1"/>
  <c r="A58" i="1"/>
  <c r="D57" i="1"/>
  <c r="A57" i="1"/>
  <c r="D56" i="1"/>
  <c r="A56" i="1"/>
  <c r="D55" i="1"/>
  <c r="A55" i="1"/>
  <c r="D54" i="1"/>
  <c r="A54" i="1"/>
  <c r="D53" i="1"/>
  <c r="A53" i="1"/>
  <c r="D52" i="1"/>
  <c r="A52" i="1"/>
  <c r="D51" i="1"/>
  <c r="A51" i="1"/>
  <c r="D50" i="1"/>
  <c r="A50" i="1"/>
  <c r="D49" i="1"/>
  <c r="A49" i="1"/>
  <c r="D48" i="1"/>
  <c r="A48" i="1"/>
  <c r="D47" i="1"/>
  <c r="A47" i="1"/>
  <c r="D46" i="1"/>
  <c r="A46" i="1"/>
  <c r="D45" i="1"/>
  <c r="A45" i="1"/>
  <c r="D44" i="1"/>
  <c r="A44" i="1"/>
  <c r="D43" i="1"/>
  <c r="A43" i="1"/>
  <c r="D42" i="1"/>
  <c r="A42" i="1"/>
  <c r="D41" i="1"/>
  <c r="A41" i="1"/>
  <c r="D40" i="1"/>
  <c r="A40" i="1"/>
  <c r="D39" i="1"/>
  <c r="A39" i="1"/>
  <c r="D38" i="1"/>
  <c r="A38" i="1"/>
  <c r="D37" i="1"/>
  <c r="A37" i="1"/>
  <c r="D36" i="1"/>
  <c r="A36" i="1"/>
  <c r="D35" i="1"/>
  <c r="A35" i="1"/>
  <c r="D34" i="1"/>
  <c r="A34" i="1"/>
  <c r="D33" i="1"/>
  <c r="A33" i="1"/>
  <c r="D32" i="1"/>
  <c r="A32" i="1"/>
  <c r="D31" i="1"/>
  <c r="A31" i="1"/>
  <c r="D30" i="1"/>
  <c r="A30" i="1"/>
  <c r="D29" i="1"/>
  <c r="A29" i="1"/>
  <c r="D28" i="1"/>
  <c r="A28" i="1"/>
  <c r="D27" i="1"/>
  <c r="A27" i="1"/>
  <c r="D26" i="1"/>
  <c r="A26" i="1"/>
  <c r="D25" i="1"/>
  <c r="A25" i="1"/>
  <c r="D24" i="1"/>
  <c r="A24" i="1"/>
  <c r="D23" i="1"/>
  <c r="A23" i="1"/>
  <c r="D22" i="1"/>
  <c r="A22" i="1"/>
  <c r="D21" i="1"/>
  <c r="A21" i="1"/>
  <c r="D20" i="1"/>
  <c r="A20" i="1"/>
  <c r="D19" i="1"/>
  <c r="A19" i="1"/>
  <c r="D18" i="1"/>
  <c r="A18" i="1"/>
  <c r="D17" i="1"/>
  <c r="A17" i="1"/>
  <c r="L16" i="1"/>
  <c r="L17" i="1" s="1"/>
  <c r="D16" i="1"/>
  <c r="A16" i="1"/>
  <c r="D15" i="1"/>
  <c r="A15" i="1"/>
  <c r="D14" i="1"/>
  <c r="A14" i="1"/>
  <c r="D13" i="1"/>
  <c r="A13" i="1"/>
  <c r="D12" i="1"/>
  <c r="A12" i="1"/>
  <c r="D11" i="1"/>
  <c r="A11" i="1"/>
  <c r="D10" i="1"/>
  <c r="A10" i="1"/>
  <c r="D9" i="1"/>
  <c r="A9" i="1"/>
  <c r="D8" i="1"/>
  <c r="A8" i="1"/>
  <c r="D7" i="1"/>
  <c r="A7" i="1"/>
  <c r="D6" i="1"/>
  <c r="A6" i="1"/>
  <c r="A5" i="1"/>
  <c r="D4" i="1"/>
  <c r="A4" i="1"/>
  <c r="D3" i="1"/>
  <c r="A3" i="1"/>
  <c r="B9" i="2" l="1"/>
  <c r="B15" i="2"/>
  <c r="B5" i="2"/>
  <c r="B19" i="2"/>
  <c r="B11" i="2"/>
  <c r="B17" i="2"/>
  <c r="B7" i="2"/>
  <c r="B25" i="2"/>
  <c r="B55" i="2"/>
  <c r="B20" i="2"/>
  <c r="B26" i="2"/>
  <c r="B32" i="2"/>
  <c r="B38" i="2"/>
  <c r="B44" i="2"/>
  <c r="B50" i="2"/>
  <c r="B56" i="2"/>
  <c r="B49" i="2"/>
  <c r="B12" i="2"/>
  <c r="B57" i="2"/>
  <c r="B3" i="2"/>
  <c r="G3" i="2" s="1"/>
  <c r="J3" i="2" s="1"/>
  <c r="B37" i="2"/>
  <c r="B27" i="2"/>
  <c r="B39" i="2"/>
  <c r="B51" i="2"/>
  <c r="B22" i="2"/>
  <c r="B28" i="2"/>
  <c r="B34" i="2"/>
  <c r="B40" i="2"/>
  <c r="B46" i="2"/>
  <c r="B52" i="2"/>
  <c r="B58" i="2"/>
  <c r="B31" i="2"/>
  <c r="B16" i="2"/>
  <c r="B6" i="2"/>
  <c r="B33" i="2"/>
  <c r="B45" i="2"/>
  <c r="B13" i="2"/>
  <c r="B23" i="2"/>
  <c r="B29" i="2"/>
  <c r="B35" i="2"/>
  <c r="B41" i="2"/>
  <c r="B47" i="2"/>
  <c r="B53" i="2"/>
  <c r="B59" i="2"/>
  <c r="B43" i="2"/>
  <c r="B4" i="2"/>
  <c r="B18" i="2"/>
  <c r="B24" i="2"/>
  <c r="B30" i="2"/>
  <c r="B36" i="2"/>
  <c r="B42" i="2"/>
  <c r="B48" i="2"/>
  <c r="B54" i="2"/>
  <c r="B60" i="2"/>
  <c r="B21" i="2"/>
  <c r="B10" i="2"/>
  <c r="B14" i="2"/>
  <c r="B8" i="2"/>
  <c r="B26" i="1"/>
  <c r="B32" i="1"/>
  <c r="B38" i="1"/>
  <c r="B20" i="1"/>
  <c r="B10" i="1"/>
  <c r="B41" i="1"/>
  <c r="B15" i="1"/>
  <c r="B44" i="1"/>
  <c r="B56" i="1"/>
  <c r="B16" i="1"/>
  <c r="B27" i="1"/>
  <c r="B39" i="1"/>
  <c r="B50" i="1"/>
  <c r="B51" i="1"/>
  <c r="B11" i="1"/>
  <c r="B28" i="1"/>
  <c r="B46" i="1"/>
  <c r="B52" i="1"/>
  <c r="B58" i="1"/>
  <c r="B40" i="1"/>
  <c r="B23" i="1"/>
  <c r="B35" i="1"/>
  <c r="B34" i="1"/>
  <c r="B7" i="1"/>
  <c r="B47" i="1"/>
  <c r="B59" i="1"/>
  <c r="B22" i="1"/>
  <c r="B18" i="1"/>
  <c r="B24" i="1"/>
  <c r="B30" i="1"/>
  <c r="B36" i="1"/>
  <c r="B12" i="1"/>
  <c r="B42" i="1"/>
  <c r="B60" i="1"/>
  <c r="B14" i="1"/>
  <c r="B19" i="1"/>
  <c r="B31" i="1"/>
  <c r="B48" i="1"/>
  <c r="B54" i="1"/>
  <c r="B43" i="1"/>
  <c r="B55" i="1"/>
  <c r="B3" i="1"/>
  <c r="B17" i="1"/>
  <c r="B21" i="1"/>
  <c r="B25" i="1"/>
  <c r="B29" i="1"/>
  <c r="B37" i="1"/>
  <c r="B45" i="1"/>
  <c r="B33" i="1"/>
  <c r="B57" i="1"/>
  <c r="B49" i="1"/>
  <c r="B53" i="1"/>
  <c r="B6" i="1"/>
  <c r="B13" i="1"/>
  <c r="B5" i="1"/>
  <c r="B9" i="1"/>
  <c r="B4" i="1"/>
  <c r="B8" i="1"/>
  <c r="G3" i="1" l="1"/>
  <c r="H3" i="1" l="1"/>
  <c r="I3" i="1" s="1"/>
  <c r="J3" i="1"/>
  <c r="H3" i="2"/>
  <c r="I3" i="2" s="1"/>
  <c r="E4" i="2" s="1"/>
  <c r="F4" i="2" s="1"/>
  <c r="G4" i="2" s="1"/>
  <c r="J4" i="2" s="1"/>
  <c r="E4" i="1" l="1"/>
  <c r="F4" i="1" s="1"/>
  <c r="G4" i="1" s="1"/>
  <c r="H4" i="2"/>
  <c r="I4" i="2" s="1"/>
  <c r="E5" i="2" s="1"/>
  <c r="J4" i="1" l="1"/>
  <c r="H4" i="1"/>
  <c r="I4" i="1" s="1"/>
  <c r="F5" i="2"/>
  <c r="G5" i="2" s="1"/>
  <c r="J5" i="2" s="1"/>
  <c r="H5" i="2" l="1"/>
  <c r="I5" i="2" s="1"/>
  <c r="E6" i="2" s="1"/>
  <c r="E5" i="1"/>
  <c r="F5" i="1" s="1"/>
  <c r="F6" i="2" l="1"/>
  <c r="G6" i="2" s="1"/>
  <c r="J6" i="2" s="1"/>
  <c r="G5" i="1"/>
  <c r="H5" i="1" s="1"/>
  <c r="H6" i="2" l="1"/>
  <c r="I6" i="2" s="1"/>
  <c r="E7" i="2" s="1"/>
  <c r="I5" i="1"/>
  <c r="E6" i="1" s="1"/>
  <c r="J5" i="1"/>
  <c r="F6" i="1" l="1"/>
  <c r="G6" i="1" s="1"/>
  <c r="H6" i="1" s="1"/>
  <c r="F7" i="2"/>
  <c r="G7" i="2" s="1"/>
  <c r="J7" i="2" s="1"/>
  <c r="H7" i="2" l="1"/>
  <c r="I7" i="2" s="1"/>
  <c r="E8" i="2" s="1"/>
  <c r="I6" i="1"/>
  <c r="J6" i="1"/>
  <c r="F8" i="2" l="1"/>
  <c r="G8" i="2" s="1"/>
  <c r="J8" i="2" s="1"/>
  <c r="E7" i="1"/>
  <c r="F7" i="1" l="1"/>
  <c r="G7" i="1" s="1"/>
  <c r="H7" i="1" s="1"/>
  <c r="H8" i="2"/>
  <c r="I8" i="2" s="1"/>
  <c r="E9" i="2" s="1"/>
  <c r="F9" i="2" l="1"/>
  <c r="G9" i="2" s="1"/>
  <c r="J9" i="2" s="1"/>
  <c r="I7" i="1"/>
  <c r="J7" i="1"/>
  <c r="H9" i="2" l="1"/>
  <c r="I9" i="2" s="1"/>
  <c r="E10" i="2" s="1"/>
  <c r="E8" i="1"/>
  <c r="F8" i="1" s="1"/>
  <c r="F10" i="2" l="1"/>
  <c r="G10" i="2" s="1"/>
  <c r="J10" i="2" s="1"/>
  <c r="G8" i="1"/>
  <c r="H8" i="1" s="1"/>
  <c r="H10" i="2" l="1"/>
  <c r="I10" i="2" s="1"/>
  <c r="E11" i="2" s="1"/>
  <c r="I8" i="1"/>
  <c r="J8" i="1"/>
  <c r="F11" i="2" l="1"/>
  <c r="G11" i="2" s="1"/>
  <c r="J11" i="2" s="1"/>
  <c r="E9" i="1"/>
  <c r="F9" i="1" s="1"/>
  <c r="H11" i="2" l="1"/>
  <c r="I11" i="2" s="1"/>
  <c r="E12" i="2" s="1"/>
  <c r="G9" i="1"/>
  <c r="H9" i="1" s="1"/>
  <c r="F12" i="2" l="1"/>
  <c r="G12" i="2" s="1"/>
  <c r="J12" i="2" s="1"/>
  <c r="I9" i="1"/>
  <c r="J9" i="1"/>
  <c r="H12" i="2" l="1"/>
  <c r="I12" i="2" s="1"/>
  <c r="E13" i="2" s="1"/>
  <c r="F13" i="2" s="1"/>
  <c r="G13" i="2" l="1"/>
  <c r="J13" i="2" s="1"/>
  <c r="E10" i="1" l="1"/>
  <c r="F10" i="1" s="1"/>
  <c r="G10" i="1" l="1"/>
  <c r="H10" i="1" s="1"/>
  <c r="I10" i="1" l="1"/>
  <c r="J10" i="1"/>
  <c r="E11" i="1"/>
  <c r="F11" i="1" s="1"/>
  <c r="G11" i="1" l="1"/>
  <c r="H11" i="1" s="1"/>
  <c r="I11" i="1" l="1"/>
  <c r="J11" i="1"/>
  <c r="E12" i="1"/>
  <c r="F12" i="1" s="1"/>
  <c r="G12" i="1" l="1"/>
  <c r="H12" i="1" s="1"/>
  <c r="I12" i="1" l="1"/>
  <c r="J12" i="1"/>
  <c r="E13" i="1"/>
  <c r="F13" i="1" s="1"/>
  <c r="G13" i="1" l="1"/>
  <c r="H13" i="1" s="1"/>
  <c r="I13" i="1" l="1"/>
  <c r="E14" i="1" s="1"/>
  <c r="F14" i="1" s="1"/>
  <c r="J13" i="1"/>
  <c r="G14" i="1" l="1"/>
  <c r="H14" i="1" s="1"/>
  <c r="I14" i="1" l="1"/>
  <c r="J14" i="1"/>
  <c r="E15" i="1"/>
  <c r="F15" i="1" s="1"/>
  <c r="G15" i="1" l="1"/>
  <c r="H15" i="1" s="1"/>
  <c r="I15" i="1" l="1"/>
  <c r="J15" i="1"/>
  <c r="E16" i="1"/>
  <c r="F16" i="1" s="1"/>
  <c r="G16" i="1" l="1"/>
  <c r="H16" i="1" s="1"/>
  <c r="I16" i="1" l="1"/>
  <c r="E17" i="1" s="1"/>
  <c r="F17" i="1" s="1"/>
  <c r="J16" i="1"/>
  <c r="G17" i="1" l="1"/>
  <c r="H17" i="1" s="1"/>
  <c r="I17" i="1" l="1"/>
  <c r="J17" i="1"/>
  <c r="E18" i="1"/>
  <c r="F18" i="1" s="1"/>
  <c r="G18" i="1" l="1"/>
  <c r="H18" i="1" s="1"/>
  <c r="I18" i="1" l="1"/>
  <c r="E19" i="1" s="1"/>
  <c r="F19" i="1" s="1"/>
  <c r="J18" i="1"/>
  <c r="G19" i="1" l="1"/>
  <c r="H19" i="1" s="1"/>
  <c r="I19" i="1" l="1"/>
  <c r="J19" i="1"/>
  <c r="E20" i="1"/>
  <c r="F20" i="1" s="1"/>
  <c r="G20" i="1" l="1"/>
  <c r="H20" i="1" s="1"/>
  <c r="I20" i="1" l="1"/>
  <c r="J20" i="1"/>
  <c r="E21" i="1"/>
  <c r="F21" i="1" s="1"/>
  <c r="G21" i="1" l="1"/>
  <c r="H21" i="1" s="1"/>
  <c r="I21" i="1" l="1"/>
  <c r="E22" i="1" s="1"/>
  <c r="F22" i="1" s="1"/>
  <c r="J21" i="1"/>
  <c r="G22" i="1" l="1"/>
  <c r="H22" i="1" s="1"/>
  <c r="I22" i="1" l="1"/>
  <c r="J22" i="1"/>
  <c r="E23" i="1"/>
  <c r="F23" i="1" s="1"/>
  <c r="G23" i="1" l="1"/>
  <c r="H23" i="1" s="1"/>
  <c r="I23" i="1" l="1"/>
  <c r="J23" i="1"/>
  <c r="E24" i="1"/>
  <c r="F24" i="1" s="1"/>
  <c r="G24" i="1" l="1"/>
  <c r="H24" i="1" s="1"/>
  <c r="I24" i="1" l="1"/>
  <c r="L13" i="1" s="1"/>
  <c r="L14" i="1" s="1"/>
  <c r="J24" i="1"/>
  <c r="E25" i="1"/>
  <c r="F25" i="1" s="1"/>
  <c r="G25" i="1" l="1"/>
  <c r="H25" i="1" s="1"/>
  <c r="I25" i="1" l="1"/>
  <c r="J25" i="1"/>
  <c r="E26" i="1"/>
  <c r="F26" i="1" s="1"/>
  <c r="G26" i="1" l="1"/>
  <c r="H26" i="1" s="1"/>
  <c r="I26" i="1" l="1"/>
  <c r="J26" i="1"/>
  <c r="E27" i="1"/>
  <c r="F27" i="1" s="1"/>
  <c r="G27" i="1" l="1"/>
  <c r="H27" i="1" s="1"/>
  <c r="I27" i="1" l="1"/>
  <c r="J27" i="1"/>
  <c r="E28" i="1"/>
  <c r="F28" i="1" s="1"/>
  <c r="G28" i="1" l="1"/>
  <c r="H28" i="1" s="1"/>
  <c r="I28" i="1" l="1"/>
  <c r="E29" i="1" s="1"/>
  <c r="F29" i="1" s="1"/>
  <c r="J28" i="1"/>
  <c r="G29" i="1" l="1"/>
  <c r="H29" i="1" s="1"/>
  <c r="I29" i="1" l="1"/>
  <c r="J29" i="1"/>
  <c r="E30" i="1"/>
  <c r="F30" i="1" s="1"/>
  <c r="G30" i="1" l="1"/>
  <c r="H30" i="1" s="1"/>
  <c r="I30" i="1" l="1"/>
  <c r="J30" i="1"/>
  <c r="E31" i="1"/>
  <c r="F31" i="1" s="1"/>
  <c r="G31" i="1" l="1"/>
  <c r="H31" i="1" s="1"/>
  <c r="I31" i="1" l="1"/>
  <c r="J31" i="1"/>
  <c r="E32" i="1"/>
  <c r="F32" i="1" s="1"/>
  <c r="G32" i="1" l="1"/>
  <c r="H32" i="1" s="1"/>
  <c r="I32" i="1" l="1"/>
  <c r="J32" i="1"/>
  <c r="E33" i="1"/>
  <c r="F33" i="1" s="1"/>
  <c r="G33" i="1" l="1"/>
  <c r="H33" i="1" s="1"/>
  <c r="I33" i="1" l="1"/>
  <c r="J33" i="1"/>
  <c r="E34" i="1"/>
  <c r="F34" i="1" s="1"/>
  <c r="G34" i="1" l="1"/>
  <c r="H34" i="1" s="1"/>
  <c r="I34" i="1" l="1"/>
  <c r="J34" i="1"/>
  <c r="E35" i="1"/>
  <c r="F35" i="1" s="1"/>
  <c r="G35" i="1" l="1"/>
  <c r="H35" i="1" s="1"/>
  <c r="I35" i="1" l="1"/>
  <c r="J35" i="1"/>
  <c r="E36" i="1"/>
  <c r="F36" i="1" s="1"/>
  <c r="G36" i="1" l="1"/>
  <c r="H36" i="1" s="1"/>
  <c r="I36" i="1" l="1"/>
  <c r="J36" i="1"/>
  <c r="E37" i="1"/>
  <c r="F37" i="1" s="1"/>
  <c r="G37" i="1" l="1"/>
  <c r="H37" i="1" s="1"/>
  <c r="I37" i="1" l="1"/>
  <c r="J37" i="1"/>
  <c r="E38" i="1"/>
  <c r="F38" i="1" s="1"/>
  <c r="G38" i="1" l="1"/>
  <c r="H38" i="1" s="1"/>
  <c r="I38" i="1" l="1"/>
  <c r="J38" i="1"/>
  <c r="E39" i="1"/>
  <c r="F39" i="1" s="1"/>
  <c r="G39" i="1" l="1"/>
  <c r="H39" i="1" s="1"/>
  <c r="I39" i="1" l="1"/>
  <c r="J39" i="1"/>
  <c r="E40" i="1"/>
  <c r="F40" i="1" s="1"/>
  <c r="G40" i="1" l="1"/>
  <c r="H40" i="1" s="1"/>
  <c r="I40" i="1" l="1"/>
  <c r="J40" i="1"/>
  <c r="E41" i="1"/>
  <c r="F41" i="1" s="1"/>
  <c r="G41" i="1" l="1"/>
  <c r="H41" i="1" s="1"/>
  <c r="I41" i="1" l="1"/>
  <c r="J41" i="1"/>
  <c r="E42" i="1"/>
  <c r="F42" i="1" s="1"/>
  <c r="G42" i="1" l="1"/>
  <c r="H42" i="1" s="1"/>
  <c r="I42" i="1" l="1"/>
  <c r="E43" i="1" s="1"/>
  <c r="F43" i="1" s="1"/>
  <c r="J42" i="1"/>
  <c r="G43" i="1" l="1"/>
  <c r="H43" i="1" s="1"/>
  <c r="I43" i="1" l="1"/>
  <c r="J43" i="1"/>
  <c r="E44" i="1"/>
  <c r="F44" i="1" s="1"/>
  <c r="G44" i="1" l="1"/>
  <c r="H44" i="1" s="1"/>
  <c r="I44" i="1" l="1"/>
  <c r="J44" i="1"/>
  <c r="E45" i="1"/>
  <c r="F45" i="1" s="1"/>
  <c r="G45" i="1" l="1"/>
  <c r="H45" i="1" s="1"/>
  <c r="I45" i="1" l="1"/>
  <c r="J45" i="1"/>
  <c r="E46" i="1"/>
  <c r="F46" i="1" s="1"/>
  <c r="G46" i="1" l="1"/>
  <c r="H46" i="1" s="1"/>
  <c r="I46" i="1" l="1"/>
  <c r="J46" i="1"/>
  <c r="E47" i="1"/>
  <c r="F47" i="1" s="1"/>
  <c r="G47" i="1" l="1"/>
  <c r="H47" i="1" s="1"/>
  <c r="I47" i="1" l="1"/>
  <c r="J47" i="1"/>
  <c r="E48" i="1"/>
  <c r="F48" i="1" s="1"/>
  <c r="G48" i="1" l="1"/>
  <c r="H48" i="1" s="1"/>
  <c r="I48" i="1" l="1"/>
  <c r="J48" i="1"/>
  <c r="E49" i="1"/>
  <c r="F49" i="1" s="1"/>
  <c r="G49" i="1" l="1"/>
  <c r="H49" i="1" s="1"/>
  <c r="I49" i="1" l="1"/>
  <c r="E50" i="1" s="1"/>
  <c r="F50" i="1" s="1"/>
  <c r="J49" i="1"/>
  <c r="G50" i="1" l="1"/>
  <c r="H50" i="1" s="1"/>
  <c r="I50" i="1" l="1"/>
  <c r="J50" i="1"/>
  <c r="E51" i="1"/>
  <c r="F51" i="1" s="1"/>
  <c r="G51" i="1" l="1"/>
  <c r="H51" i="1" s="1"/>
  <c r="I51" i="1" l="1"/>
  <c r="E52" i="1" s="1"/>
  <c r="F52" i="1" s="1"/>
  <c r="J51" i="1"/>
  <c r="G52" i="1" l="1"/>
  <c r="H52" i="1" s="1"/>
  <c r="I52" i="1" l="1"/>
  <c r="J52" i="1"/>
  <c r="E53" i="1"/>
  <c r="F53" i="1" s="1"/>
  <c r="G53" i="1" l="1"/>
  <c r="H53" i="1" s="1"/>
  <c r="I53" i="1" l="1"/>
  <c r="J53" i="1"/>
  <c r="E54" i="1"/>
  <c r="F54" i="1" s="1"/>
  <c r="G54" i="1" l="1"/>
  <c r="H54" i="1" s="1"/>
  <c r="I54" i="1" l="1"/>
  <c r="J54" i="1"/>
  <c r="E55" i="1"/>
  <c r="F55" i="1" s="1"/>
  <c r="G55" i="1" l="1"/>
  <c r="H55" i="1" s="1"/>
  <c r="I55" i="1" l="1"/>
  <c r="J55" i="1"/>
  <c r="E56" i="1"/>
  <c r="F56" i="1" s="1"/>
  <c r="G56" i="1" l="1"/>
  <c r="H56" i="1" s="1"/>
  <c r="I56" i="1" l="1"/>
  <c r="J56" i="1"/>
  <c r="E57" i="1"/>
  <c r="F57" i="1" s="1"/>
  <c r="G57" i="1" l="1"/>
  <c r="H57" i="1" s="1"/>
  <c r="I57" i="1" l="1"/>
  <c r="J57" i="1"/>
  <c r="E58" i="1"/>
  <c r="F58" i="1" s="1"/>
  <c r="G58" i="1" l="1"/>
  <c r="H58" i="1" s="1"/>
  <c r="I58" i="1" l="1"/>
  <c r="J58" i="1"/>
  <c r="E59" i="1"/>
  <c r="F59" i="1" s="1"/>
  <c r="G59" i="1" l="1"/>
  <c r="H59" i="1" s="1"/>
  <c r="I59" i="1" l="1"/>
  <c r="J59" i="1"/>
  <c r="E60" i="1"/>
  <c r="F60" i="1" s="1"/>
  <c r="G60" i="1" l="1"/>
  <c r="H60" i="1" s="1"/>
  <c r="I60" i="1" l="1"/>
  <c r="L15" i="1" s="1"/>
  <c r="J60" i="1"/>
  <c r="H13" i="2"/>
  <c r="I13" i="2" s="1"/>
  <c r="E14" i="2" s="1"/>
  <c r="F14" i="2" l="1"/>
  <c r="G14" i="2" s="1"/>
  <c r="J14" i="2" s="1"/>
  <c r="H14" i="2" l="1"/>
  <c r="I14" i="2" s="1"/>
  <c r="E15" i="2" s="1"/>
  <c r="F15" i="2" l="1"/>
  <c r="G15" i="2" s="1"/>
  <c r="J15" i="2" s="1"/>
  <c r="H15" i="2" l="1"/>
  <c r="I15" i="2" s="1"/>
  <c r="E16" i="2" s="1"/>
  <c r="F16" i="2" l="1"/>
  <c r="G16" i="2" s="1"/>
  <c r="J16" i="2" s="1"/>
  <c r="H16" i="2" l="1"/>
  <c r="I16" i="2" s="1"/>
  <c r="E17" i="2" s="1"/>
  <c r="F17" i="2" l="1"/>
  <c r="G17" i="2" s="1"/>
  <c r="J17" i="2" s="1"/>
  <c r="H17" i="2" l="1"/>
  <c r="I17" i="2" s="1"/>
  <c r="E18" i="2" s="1"/>
  <c r="F18" i="2" l="1"/>
  <c r="G18" i="2" s="1"/>
  <c r="J18" i="2" s="1"/>
  <c r="H18" i="2" l="1"/>
  <c r="I18" i="2" s="1"/>
  <c r="E19" i="2" s="1"/>
  <c r="F19" i="2" l="1"/>
  <c r="G19" i="2" s="1"/>
  <c r="J19" i="2" s="1"/>
  <c r="H19" i="2" l="1"/>
  <c r="I19" i="2" s="1"/>
  <c r="E20" i="2" s="1"/>
  <c r="F20" i="2" l="1"/>
  <c r="G20" i="2" s="1"/>
  <c r="J20" i="2" s="1"/>
  <c r="H20" i="2" l="1"/>
  <c r="I20" i="2" s="1"/>
  <c r="E21" i="2" s="1"/>
  <c r="F21" i="2" l="1"/>
  <c r="G21" i="2" s="1"/>
  <c r="J21" i="2" s="1"/>
  <c r="H21" i="2" l="1"/>
  <c r="I21" i="2" s="1"/>
  <c r="E22" i="2" s="1"/>
  <c r="F22" i="2" l="1"/>
  <c r="G22" i="2" s="1"/>
  <c r="J22" i="2" s="1"/>
  <c r="H22" i="2" l="1"/>
  <c r="I22" i="2" s="1"/>
  <c r="E23" i="2" s="1"/>
  <c r="F23" i="2" l="1"/>
  <c r="G23" i="2" s="1"/>
  <c r="J23" i="2" s="1"/>
  <c r="H23" i="2" l="1"/>
  <c r="I23" i="2" s="1"/>
  <c r="E24" i="2" s="1"/>
  <c r="F24" i="2" l="1"/>
  <c r="G24" i="2" s="1"/>
  <c r="J24" i="2" s="1"/>
  <c r="H24" i="2" l="1"/>
  <c r="I24" i="2" s="1"/>
  <c r="E25" i="2" l="1"/>
  <c r="L13" i="2"/>
  <c r="L14" i="2" s="1"/>
  <c r="F25" i="2" l="1"/>
  <c r="G25" i="2" s="1"/>
  <c r="J25" i="2" s="1"/>
  <c r="H25" i="2" l="1"/>
  <c r="I25" i="2" s="1"/>
  <c r="E26" i="2" s="1"/>
  <c r="F26" i="2" l="1"/>
  <c r="G26" i="2" s="1"/>
  <c r="J26" i="2" s="1"/>
  <c r="H26" i="2" l="1"/>
  <c r="I26" i="2" s="1"/>
  <c r="E27" i="2" s="1"/>
  <c r="F27" i="2" l="1"/>
  <c r="G27" i="2" s="1"/>
  <c r="J27" i="2" s="1"/>
  <c r="H27" i="2" l="1"/>
  <c r="I27" i="2" s="1"/>
  <c r="E28" i="2" s="1"/>
  <c r="F28" i="2" l="1"/>
  <c r="G28" i="2" s="1"/>
  <c r="J28" i="2" s="1"/>
  <c r="H28" i="2" l="1"/>
  <c r="I28" i="2" s="1"/>
  <c r="E29" i="2" s="1"/>
  <c r="F29" i="2" l="1"/>
  <c r="G29" i="2" s="1"/>
  <c r="J29" i="2" s="1"/>
  <c r="H29" i="2" l="1"/>
  <c r="I29" i="2" s="1"/>
  <c r="E30" i="2" s="1"/>
  <c r="F30" i="2" l="1"/>
  <c r="G30" i="2" s="1"/>
  <c r="J30" i="2" s="1"/>
  <c r="H30" i="2" l="1"/>
  <c r="I30" i="2" s="1"/>
  <c r="E31" i="2" s="1"/>
  <c r="F31" i="2" l="1"/>
  <c r="G31" i="2" s="1"/>
  <c r="J31" i="2" s="1"/>
  <c r="H31" i="2" l="1"/>
  <c r="I31" i="2" s="1"/>
  <c r="E32" i="2" l="1"/>
  <c r="F32" i="2" l="1"/>
  <c r="G32" i="2" s="1"/>
  <c r="J32" i="2" s="1"/>
  <c r="H32" i="2" l="1"/>
  <c r="I32" i="2" s="1"/>
  <c r="E33" i="2" s="1"/>
  <c r="F33" i="2" l="1"/>
  <c r="G33" i="2" s="1"/>
  <c r="J33" i="2" s="1"/>
  <c r="H33" i="2" l="1"/>
  <c r="I33" i="2" s="1"/>
  <c r="E34" i="2" s="1"/>
  <c r="F34" i="2" l="1"/>
  <c r="G34" i="2" s="1"/>
  <c r="J34" i="2" s="1"/>
  <c r="H34" i="2" l="1"/>
  <c r="I34" i="2" s="1"/>
  <c r="E35" i="2" s="1"/>
  <c r="F35" i="2" l="1"/>
  <c r="G35" i="2" s="1"/>
  <c r="J35" i="2" s="1"/>
  <c r="H35" i="2" l="1"/>
  <c r="I35" i="2" s="1"/>
  <c r="E36" i="2" s="1"/>
  <c r="F36" i="2" l="1"/>
  <c r="G36" i="2" s="1"/>
  <c r="J36" i="2" s="1"/>
  <c r="H36" i="2" l="1"/>
  <c r="I36" i="2" s="1"/>
  <c r="E37" i="2" s="1"/>
  <c r="F37" i="2" l="1"/>
  <c r="G37" i="2" s="1"/>
  <c r="J37" i="2" s="1"/>
  <c r="H37" i="2" l="1"/>
  <c r="I37" i="2" s="1"/>
  <c r="E38" i="2" s="1"/>
  <c r="F38" i="2" l="1"/>
  <c r="G38" i="2" s="1"/>
  <c r="J38" i="2" s="1"/>
  <c r="H38" i="2" l="1"/>
  <c r="I38" i="2" s="1"/>
  <c r="E39" i="2" s="1"/>
  <c r="F39" i="2" l="1"/>
  <c r="G39" i="2" s="1"/>
  <c r="J39" i="2" s="1"/>
  <c r="H39" i="2" l="1"/>
  <c r="I39" i="2" s="1"/>
  <c r="E40" i="2" s="1"/>
  <c r="F40" i="2" l="1"/>
  <c r="G40" i="2" s="1"/>
  <c r="J40" i="2" s="1"/>
  <c r="H40" i="2" l="1"/>
  <c r="I40" i="2" s="1"/>
  <c r="E41" i="2" s="1"/>
  <c r="F41" i="2" l="1"/>
  <c r="G41" i="2" s="1"/>
  <c r="J41" i="2" s="1"/>
  <c r="H41" i="2" l="1"/>
  <c r="I41" i="2" s="1"/>
  <c r="E42" i="2" s="1"/>
  <c r="F42" i="2" l="1"/>
  <c r="G42" i="2" s="1"/>
  <c r="J42" i="2" s="1"/>
  <c r="H42" i="2" l="1"/>
  <c r="I42" i="2" s="1"/>
  <c r="E43" i="2" s="1"/>
  <c r="F43" i="2" l="1"/>
  <c r="G43" i="2" s="1"/>
  <c r="J43" i="2" s="1"/>
  <c r="H43" i="2" l="1"/>
  <c r="I43" i="2" s="1"/>
  <c r="E44" i="2" s="1"/>
  <c r="F44" i="2" l="1"/>
  <c r="G44" i="2" s="1"/>
  <c r="J44" i="2" s="1"/>
  <c r="H44" i="2" l="1"/>
  <c r="I44" i="2" s="1"/>
  <c r="E45" i="2" s="1"/>
  <c r="F45" i="2" l="1"/>
  <c r="G45" i="2" s="1"/>
  <c r="J45" i="2" s="1"/>
  <c r="H45" i="2" l="1"/>
  <c r="I45" i="2" s="1"/>
  <c r="E46" i="2" s="1"/>
  <c r="F46" i="2" l="1"/>
  <c r="G46" i="2" s="1"/>
  <c r="J46" i="2" s="1"/>
  <c r="H46" i="2" l="1"/>
  <c r="I46" i="2" s="1"/>
  <c r="E47" i="2" l="1"/>
  <c r="F47" i="2" l="1"/>
  <c r="G47" i="2" s="1"/>
  <c r="J47" i="2" s="1"/>
  <c r="H47" i="2" l="1"/>
  <c r="I47" i="2" s="1"/>
  <c r="E48" i="2" s="1"/>
  <c r="F48" i="2" l="1"/>
  <c r="G48" i="2" s="1"/>
  <c r="J48" i="2" s="1"/>
  <c r="H48" i="2" l="1"/>
  <c r="I48" i="2" s="1"/>
  <c r="E49" i="2" s="1"/>
  <c r="F49" i="2" l="1"/>
  <c r="G49" i="2" s="1"/>
  <c r="J49" i="2" s="1"/>
  <c r="H49" i="2" l="1"/>
  <c r="I49" i="2" s="1"/>
  <c r="E50" i="2" s="1"/>
  <c r="F50" i="2" l="1"/>
  <c r="G50" i="2" s="1"/>
  <c r="J50" i="2" s="1"/>
  <c r="H50" i="2" l="1"/>
  <c r="I50" i="2" s="1"/>
  <c r="E51" i="2" s="1"/>
  <c r="F51" i="2" l="1"/>
  <c r="G51" i="2" s="1"/>
  <c r="J51" i="2" s="1"/>
  <c r="H51" i="2" l="1"/>
  <c r="I51" i="2" s="1"/>
  <c r="E52" i="2" s="1"/>
  <c r="F52" i="2" l="1"/>
  <c r="G52" i="2" s="1"/>
  <c r="J52" i="2" s="1"/>
  <c r="H52" i="2" l="1"/>
  <c r="I52" i="2" s="1"/>
  <c r="E53" i="2" s="1"/>
  <c r="F53" i="2" l="1"/>
  <c r="G53" i="2" s="1"/>
  <c r="J53" i="2" s="1"/>
  <c r="H53" i="2" l="1"/>
  <c r="I53" i="2" s="1"/>
  <c r="E54" i="2" l="1"/>
  <c r="F54" i="2" l="1"/>
  <c r="G54" i="2" s="1"/>
  <c r="J54" i="2" s="1"/>
  <c r="H54" i="2" l="1"/>
  <c r="I54" i="2" s="1"/>
  <c r="E55" i="2" s="1"/>
  <c r="F55" i="2" l="1"/>
  <c r="G55" i="2" s="1"/>
  <c r="J55" i="2" s="1"/>
  <c r="H55" i="2" l="1"/>
  <c r="I55" i="2" s="1"/>
  <c r="E56" i="2" s="1"/>
  <c r="F56" i="2" l="1"/>
  <c r="G56" i="2" s="1"/>
  <c r="J56" i="2" s="1"/>
  <c r="H56" i="2" l="1"/>
  <c r="I56" i="2" s="1"/>
  <c r="E57" i="2" s="1"/>
  <c r="F57" i="2" l="1"/>
  <c r="G57" i="2" s="1"/>
  <c r="J57" i="2" s="1"/>
  <c r="H57" i="2" l="1"/>
  <c r="I57" i="2" s="1"/>
  <c r="E58" i="2" l="1"/>
  <c r="F58" i="2" l="1"/>
  <c r="G58" i="2" s="1"/>
  <c r="J58" i="2" s="1"/>
  <c r="H58" i="2" l="1"/>
  <c r="I58" i="2" s="1"/>
  <c r="E59" i="2" s="1"/>
  <c r="F59" i="2" l="1"/>
  <c r="G59" i="2" s="1"/>
  <c r="J59" i="2" s="1"/>
  <c r="H59" i="2" l="1"/>
  <c r="I59" i="2" s="1"/>
  <c r="E60" i="2" l="1"/>
  <c r="F60" i="2" l="1"/>
  <c r="G60" i="2" s="1"/>
  <c r="J60" i="2" s="1"/>
  <c r="H60" i="2" l="1"/>
  <c r="I60" i="2" s="1"/>
  <c r="L15" i="2" s="1"/>
</calcChain>
</file>

<file path=xl/sharedStrings.xml><?xml version="1.0" encoding="utf-8"?>
<sst xmlns="http://schemas.openxmlformats.org/spreadsheetml/2006/main" count="72" uniqueCount="36">
  <si>
    <t>Simulador de crecimiento de cuenta por operación</t>
  </si>
  <si>
    <t>Premisas editables</t>
  </si>
  <si>
    <t>Rand</t>
  </si>
  <si>
    <t>Rank</t>
  </si>
  <si>
    <t># Trade</t>
  </si>
  <si>
    <t>Fecha</t>
  </si>
  <si>
    <t>Capital antes</t>
  </si>
  <si>
    <t>Resultado</t>
  </si>
  <si>
    <t>Balance</t>
  </si>
  <si>
    <t>Estado</t>
  </si>
  <si>
    <t>Fecha de Inicio</t>
  </si>
  <si>
    <t>Día de inicio de la simulación</t>
  </si>
  <si>
    <t>Consultar Fecha</t>
  </si>
  <si>
    <t>Fecha futura para estimar el balance</t>
  </si>
  <si>
    <t>Capital de Inicio</t>
  </si>
  <si>
    <t>Cuenta inicial</t>
  </si>
  <si>
    <t>% cuenta a invertir</t>
  </si>
  <si>
    <t>Ejemplo: 10% del balance actual</t>
  </si>
  <si>
    <t>Efectividad %</t>
  </si>
  <si>
    <t>Probabilidad o efectividad esperada de ganar</t>
  </si>
  <si>
    <t>Trade Price</t>
  </si>
  <si>
    <t>Precio base del contrato/strike</t>
  </si>
  <si>
    <t>Stop loss %</t>
  </si>
  <si>
    <t>Pérdida sobre lo invertido cuando falla</t>
  </si>
  <si>
    <t>Limit %</t>
  </si>
  <si>
    <t>Ganancia sobre lo invertido cuando funciona</t>
  </si>
  <si>
    <t>Trades simulados</t>
  </si>
  <si>
    <t>Número de operaciones incluidas abajo</t>
  </si>
  <si>
    <t>Resumen</t>
  </si>
  <si>
    <t>Balance esperado a fecha</t>
  </si>
  <si>
    <t>P/L estimado</t>
  </si>
  <si>
    <t>Balance final simulado</t>
  </si>
  <si>
    <t>Trades ganados</t>
  </si>
  <si>
    <t>Trades perdidos</t>
  </si>
  <si>
    <t>P/L</t>
  </si>
  <si>
    <t>Inversion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</si>
</sst>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&quot;$&quot;#,##0.00"/>
    <numFmt numFmtId="165" formatCode="&quot;$&quot;0.00"/>
    <numFmt numFmtId="166" formatCode="0.000"/>
    <numFmt numFmtId="167" formatCode="&quot;$&quot;#,##0.00;[Red]\-&quot;$&quot;#,##0.00"/>
  </numFmts>
  <fonts count="11" x14ac:knownFonts="1">
    <font>
      <sz val="11"/>
      <color theme="1"/>
      <name val="Calibri"/>
    </font>
    <font>
      <sz val="11"/>
      <color theme="1"/>
      <name val="Calibri"/>
    </font>
    <font>
      <sz val="16"/>
      <color theme="1"/>
      <name val="Calibri"/>
    </font>
    <font>
      <b/>
      <sz val="13"/>
      <color rgb="FFFFFFFF"/>
      <name val="Calibri"/>
    </font>
    <font>
      <b/>
      <sz val="11"/>
      <color theme="1"/>
      <name val="Calibri"/>
    </font>
    <font>
      <i/>
      <sz val="11"/>
      <color rgb="FF64748B"/>
      <name val="Calibri"/>
    </font>
    <font>
      <b/>
      <sz val="11"/>
      <color rgb="FF1E3A8A"/>
      <name val="Calibri"/>
    </font>
    <font>
      <b/>
      <sz val="10"/>
      <color rgb="FF1F2937"/>
      <name val="Calibri"/>
    </font>
    <font>
      <sz val="10"/>
      <color theme="1"/>
      <name val="Calibri"/>
    </font>
    <font>
      <b/>
      <sz val="11"/>
      <color rgb="FFFF0000"/>
      <name val="Calibri"/>
      <family val="2"/>
    </font>
    <font>
      <b/>
      <sz val="11"/>
      <color rgb="FF00B05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2563EB"/>
      </patternFill>
    </fill>
    <fill>
      <patternFill patternType="solid">
        <fgColor rgb="FFFFF7ED"/>
      </patternFill>
    </fill>
    <fill>
      <patternFill patternType="solid">
        <fgColor rgb="FF0F766E"/>
      </patternFill>
    </fill>
    <fill>
      <patternFill patternType="solid">
        <fgColor rgb="FFDBEAFE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/>
      <right style="thin">
        <color rgb="FFCBD5E1"/>
      </right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  <border>
      <left/>
      <right style="thin">
        <color rgb="FFCBD5E1"/>
      </right>
      <top/>
      <bottom/>
      <diagonal/>
    </border>
    <border>
      <left style="thin">
        <color rgb="FFCBD5E1"/>
      </left>
      <right/>
      <top/>
      <bottom style="thin">
        <color rgb="FFCBD5E1"/>
      </bottom>
      <diagonal/>
    </border>
    <border>
      <left/>
      <right/>
      <top/>
      <bottom style="thin">
        <color rgb="FFCBD5E1"/>
      </bottom>
      <diagonal/>
    </border>
    <border>
      <left/>
      <right style="thin">
        <color rgb="FFCBD5E1"/>
      </right>
      <top/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/>
      <top/>
      <bottom style="thin">
        <color rgb="FFCBD5E1"/>
      </bottom>
      <diagonal/>
    </border>
    <border>
      <left style="thin">
        <color rgb="FFF97316"/>
      </left>
      <right style="thin">
        <color rgb="FFF97316"/>
      </right>
      <top style="thin">
        <color rgb="FFF97316"/>
      </top>
      <bottom/>
      <diagonal/>
    </border>
    <border>
      <left style="thin">
        <color rgb="FFF97316"/>
      </left>
      <right style="thin">
        <color rgb="FFF97316"/>
      </right>
      <top/>
      <bottom/>
      <diagonal/>
    </border>
    <border>
      <left style="thin">
        <color rgb="FFF97316"/>
      </left>
      <right style="thin">
        <color rgb="FFF97316"/>
      </right>
      <top/>
      <bottom style="thin">
        <color rgb="FFF97316"/>
      </bottom>
      <diagonal/>
    </border>
    <border>
      <left style="thin">
        <color rgb="FFF97316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2" fillId="0" borderId="0" xfId="0" applyNumberFormat="1" applyFont="1"/>
    <xf numFmtId="44" fontId="2" fillId="0" borderId="0" xfId="1" applyFont="1"/>
    <xf numFmtId="0" fontId="2" fillId="0" borderId="0" xfId="0" applyFont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4" fillId="0" borderId="5" xfId="0" applyFont="1" applyBorder="1"/>
    <xf numFmtId="0" fontId="4" fillId="0" borderId="7" xfId="0" applyFont="1" applyBorder="1"/>
    <xf numFmtId="0" fontId="5" fillId="0" borderId="0" xfId="0" applyFont="1"/>
    <xf numFmtId="0" fontId="5" fillId="0" borderId="8" xfId="0" applyFont="1" applyBorder="1"/>
    <xf numFmtId="14" fontId="0" fillId="4" borderId="12" xfId="0" applyNumberFormat="1" applyFill="1" applyBorder="1"/>
    <xf numFmtId="164" fontId="0" fillId="4" borderId="13" xfId="0" applyNumberFormat="1" applyFill="1" applyBorder="1"/>
    <xf numFmtId="9" fontId="0" fillId="4" borderId="13" xfId="0" applyNumberFormat="1" applyFill="1" applyBorder="1"/>
    <xf numFmtId="165" fontId="0" fillId="4" borderId="13" xfId="0" applyNumberFormat="1" applyFill="1" applyBorder="1"/>
    <xf numFmtId="164" fontId="0" fillId="0" borderId="0" xfId="0" applyNumberFormat="1"/>
    <xf numFmtId="1" fontId="0" fillId="0" borderId="0" xfId="0" applyNumberFormat="1"/>
    <xf numFmtId="164" fontId="0" fillId="0" borderId="6" xfId="0" applyNumberFormat="1" applyBorder="1"/>
    <xf numFmtId="1" fontId="0" fillId="0" borderId="6" xfId="0" applyNumberFormat="1" applyBorder="1"/>
    <xf numFmtId="1" fontId="0" fillId="0" borderId="9" xfId="0" applyNumberFormat="1" applyBorder="1"/>
    <xf numFmtId="0" fontId="8" fillId="0" borderId="0" xfId="0" applyFont="1"/>
    <xf numFmtId="166" fontId="0" fillId="0" borderId="0" xfId="0" applyNumberFormat="1"/>
    <xf numFmtId="14" fontId="0" fillId="0" borderId="0" xfId="0" applyNumberFormat="1"/>
    <xf numFmtId="167" fontId="0" fillId="0" borderId="0" xfId="0" applyNumberFormat="1"/>
    <xf numFmtId="166" fontId="0" fillId="0" borderId="5" xfId="0" applyNumberFormat="1" applyBorder="1"/>
    <xf numFmtId="166" fontId="0" fillId="0" borderId="7" xfId="0" applyNumberFormat="1" applyBorder="1"/>
    <xf numFmtId="166" fontId="0" fillId="0" borderId="8" xfId="0" applyNumberFormat="1" applyBorder="1"/>
    <xf numFmtId="1" fontId="0" fillId="0" borderId="8" xfId="0" applyNumberFormat="1" applyBorder="1"/>
    <xf numFmtId="14" fontId="0" fillId="0" borderId="8" xfId="0" applyNumberFormat="1" applyBorder="1"/>
    <xf numFmtId="0" fontId="6" fillId="6" borderId="2" xfId="0" applyFont="1" applyFill="1" applyBorder="1" applyAlignment="1">
      <alignment horizontal="center" wrapText="1"/>
    </xf>
    <xf numFmtId="0" fontId="6" fillId="6" borderId="3" xfId="0" applyFont="1" applyFill="1" applyBorder="1" applyAlignment="1">
      <alignment horizontal="center" wrapText="1"/>
    </xf>
    <xf numFmtId="0" fontId="6" fillId="6" borderId="4" xfId="0" applyFont="1" applyFill="1" applyBorder="1" applyAlignment="1">
      <alignment horizontal="center" wrapText="1"/>
    </xf>
    <xf numFmtId="0" fontId="7" fillId="2" borderId="0" xfId="0" applyFont="1" applyFill="1" applyAlignment="1">
      <alignment horizontal="center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3" xfId="0" applyFont="1" applyFill="1" applyBorder="1" applyAlignment="1">
      <alignment wrapText="1"/>
    </xf>
    <xf numFmtId="0" fontId="3" fillId="3" borderId="4" xfId="0" applyFont="1" applyFill="1" applyBorder="1"/>
    <xf numFmtId="0" fontId="3" fillId="5" borderId="2" xfId="0" applyFont="1" applyFill="1" applyBorder="1"/>
    <xf numFmtId="0" fontId="3" fillId="5" borderId="4" xfId="0" applyFont="1" applyFill="1" applyBorder="1"/>
    <xf numFmtId="14" fontId="0" fillId="4" borderId="15" xfId="0" applyNumberFormat="1" applyFill="1" applyBorder="1" applyAlignment="1"/>
    <xf numFmtId="0" fontId="4" fillId="0" borderId="7" xfId="0" applyFont="1" applyBorder="1" applyAlignment="1"/>
    <xf numFmtId="1" fontId="0" fillId="4" borderId="14" xfId="0" applyNumberFormat="1" applyFill="1" applyBorder="1" applyAlignment="1"/>
    <xf numFmtId="44" fontId="0" fillId="0" borderId="1" xfId="1" applyFont="1" applyBorder="1"/>
    <xf numFmtId="164" fontId="0" fillId="0" borderId="1" xfId="0" applyNumberFormat="1" applyBorder="1"/>
    <xf numFmtId="164" fontId="9" fillId="7" borderId="0" xfId="0" applyNumberFormat="1" applyFont="1" applyFill="1"/>
    <xf numFmtId="164" fontId="10" fillId="8" borderId="0" xfId="0" applyNumberFormat="1" applyFont="1" applyFill="1"/>
    <xf numFmtId="0" fontId="3" fillId="3" borderId="10" xfId="0" applyFont="1" applyFill="1" applyBorder="1"/>
  </cellXfs>
  <cellStyles count="3">
    <cellStyle name="Moneda" xfId="1" xr:uid="{00000000-0005-0000-0000-000000000000}"/>
    <cellStyle name="Normal" xfId="0" builtinId="0"/>
    <cellStyle name="Porcentaje" xfId="2" xr:uid="{00000000-0005-0000-0000-000002000000}"/>
  </cellStyles>
  <dxfs count="31">
    <dxf>
      <font>
        <color rgb="FFC00000"/>
      </font>
      <fill>
        <patternFill>
          <bgColor theme="5" tint="0.599932859279152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C00000"/>
      </font>
      <fill>
        <patternFill>
          <bgColor theme="5" tint="0.599932859279152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166534"/>
      </font>
      <fill>
        <patternFill>
          <bgColor rgb="FFDCFCE7"/>
        </patternFill>
      </fill>
    </dxf>
    <dxf>
      <font>
        <color rgb="FF991B1B"/>
      </font>
      <fill>
        <patternFill>
          <bgColor rgb="FFFEE2E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color rgb="FFC00000"/>
      </font>
      <fill>
        <patternFill>
          <bgColor theme="5" tint="0.59993285927915285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1"/>
  <sheetViews>
    <sheetView showGridLines="0" workbookViewId="0">
      <selection activeCell="L8" sqref="L8"/>
    </sheetView>
  </sheetViews>
  <sheetFormatPr baseColWidth="10" defaultColWidth="9.140625" defaultRowHeight="21" x14ac:dyDescent="0.35"/>
  <cols>
    <col min="1" max="2" width="8" customWidth="1"/>
    <col min="3" max="3" width="9" customWidth="1"/>
    <col min="4" max="4" width="13" style="3" customWidth="1"/>
    <col min="5" max="5" width="14" style="3" customWidth="1"/>
    <col min="6" max="6" width="14" style="4" customWidth="1"/>
    <col min="7" max="7" width="12" style="5" customWidth="1"/>
    <col min="8" max="8" width="16" style="5" customWidth="1"/>
    <col min="9" max="9" width="14" style="5" customWidth="1"/>
    <col min="10" max="10" width="16" style="2" customWidth="1"/>
    <col min="11" max="11" width="23.5703125" bestFit="1" customWidth="1"/>
    <col min="12" max="12" width="11.140625" bestFit="1" customWidth="1"/>
    <col min="13" max="13" width="3" customWidth="1"/>
    <col min="14" max="14" width="3" hidden="1" customWidth="1"/>
    <col min="15" max="15" width="38" customWidth="1"/>
    <col min="16" max="16" width="12" customWidth="1"/>
    <col min="17" max="17" width="17" customWidth="1"/>
  </cols>
  <sheetData>
    <row r="1" spans="1:16" ht="20.100000000000001" customHeight="1" x14ac:dyDescent="0.3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23"/>
      <c r="K1" s="36" t="s">
        <v>1</v>
      </c>
      <c r="L1" s="37"/>
      <c r="M1" s="37"/>
      <c r="N1" s="49"/>
      <c r="O1" s="38"/>
      <c r="P1" s="39"/>
    </row>
    <row r="2" spans="1:16" s="1" customFormat="1" ht="20.100000000000001" customHeight="1" x14ac:dyDescent="0.25">
      <c r="A2" s="32" t="s">
        <v>2</v>
      </c>
      <c r="B2" s="33" t="s">
        <v>3</v>
      </c>
      <c r="C2" s="33" t="s">
        <v>4</v>
      </c>
      <c r="D2" s="33" t="s">
        <v>5</v>
      </c>
      <c r="E2" s="33" t="s">
        <v>6</v>
      </c>
      <c r="F2" s="33" t="s">
        <v>35</v>
      </c>
      <c r="G2" s="33" t="s">
        <v>7</v>
      </c>
      <c r="H2" s="33" t="s">
        <v>34</v>
      </c>
      <c r="I2" s="33" t="s">
        <v>8</v>
      </c>
      <c r="J2" s="34" t="s">
        <v>9</v>
      </c>
      <c r="K2" s="10" t="s">
        <v>10</v>
      </c>
      <c r="L2" s="14">
        <v>46143</v>
      </c>
      <c r="M2"/>
      <c r="N2"/>
      <c r="O2" s="12" t="s">
        <v>11</v>
      </c>
      <c r="P2" s="6"/>
    </row>
    <row r="3" spans="1:16" s="1" customFormat="1" ht="20.100000000000001" customHeight="1" x14ac:dyDescent="0.25">
      <c r="A3" s="27">
        <f t="shared" ref="A3:A59" ca="1" si="0">RAND()</f>
        <v>0.63754293403426887</v>
      </c>
      <c r="B3" s="24">
        <f ca="1">RANK(A3,$A$3:$A$60,1)</f>
        <v>41</v>
      </c>
      <c r="C3" s="19">
        <v>1</v>
      </c>
      <c r="D3" s="25">
        <f t="shared" ref="D3:D59" si="1">WORKDAY($L$2,C3-1)</f>
        <v>46143</v>
      </c>
      <c r="E3" s="18">
        <f>IF(C3=1,$L$4,I2)</f>
        <v>1000</v>
      </c>
      <c r="F3" s="46">
        <f>ROUND(E3*$L$5,2)</f>
        <v>100</v>
      </c>
      <c r="G3" s="45">
        <f ca="1">IF(IF(B3&lt;=ROUND($L$10*$L$6,0),"WIN","LOSS")="LOSS",(F3*-1),(F3*(1+$L$9)))</f>
        <v>200</v>
      </c>
      <c r="H3" s="26">
        <f ca="1">IF(G3&gt;F3,G3-F3,G3)</f>
        <v>100</v>
      </c>
      <c r="I3" s="26">
        <f ca="1">E3+H3</f>
        <v>1100</v>
      </c>
      <c r="J3" s="6" t="str">
        <f ca="1">IF(G3&gt;0,"Ganó limit","Perdió stop")</f>
        <v>Ganó limit</v>
      </c>
      <c r="K3" s="10" t="s">
        <v>12</v>
      </c>
      <c r="L3" s="42">
        <v>46174</v>
      </c>
      <c r="M3"/>
      <c r="N3"/>
      <c r="O3" s="12" t="s">
        <v>13</v>
      </c>
      <c r="P3" s="6"/>
    </row>
    <row r="4" spans="1:16" s="1" customFormat="1" ht="20.100000000000001" customHeight="1" x14ac:dyDescent="0.25">
      <c r="A4" s="27">
        <f t="shared" ca="1" si="0"/>
        <v>0.55280970259949291</v>
      </c>
      <c r="B4" s="24">
        <f t="shared" ref="B3:B34" ca="1" si="2">RANK(A4,$A$3:$A$60,1)</f>
        <v>34</v>
      </c>
      <c r="C4" s="19">
        <v>2</v>
      </c>
      <c r="D4" s="25">
        <f t="shared" si="1"/>
        <v>46146</v>
      </c>
      <c r="E4" s="18">
        <f ca="1">IF(C4=1,$L$4,I3)</f>
        <v>1100</v>
      </c>
      <c r="F4" s="46">
        <f ca="1">ROUND(E4*$L$5,2)</f>
        <v>110</v>
      </c>
      <c r="G4" s="45">
        <f t="shared" ref="G4:G60" ca="1" si="3">IF(IF(B4&lt;=ROUND($L$10*$L$6,0),"WIN","LOSS")="LOSS",(F4*-1),(F4*(1+$L$9)))</f>
        <v>220</v>
      </c>
      <c r="H4" s="26">
        <f t="shared" ref="H4:H60" ca="1" si="4">IF(G4&gt;F4,G4-F4,G4)</f>
        <v>110</v>
      </c>
      <c r="I4" s="26">
        <f t="shared" ref="I4:I60" ca="1" si="5">E4+H4</f>
        <v>1210</v>
      </c>
      <c r="J4" s="6" t="str">
        <f t="shared" ref="J4:J60" ca="1" si="6">IF(G4&gt;0,"Ganó limit","Perdió stop")</f>
        <v>Ganó limit</v>
      </c>
      <c r="K4" s="10" t="s">
        <v>14</v>
      </c>
      <c r="L4" s="15">
        <v>1000</v>
      </c>
      <c r="M4"/>
      <c r="N4"/>
      <c r="O4" s="12" t="s">
        <v>15</v>
      </c>
      <c r="P4" s="6"/>
    </row>
    <row r="5" spans="1:16" s="1" customFormat="1" ht="20.100000000000001" customHeight="1" x14ac:dyDescent="0.25">
      <c r="A5" s="27">
        <f t="shared" ca="1" si="0"/>
        <v>0.66168859247670009</v>
      </c>
      <c r="B5" s="24">
        <f t="shared" ca="1" si="2"/>
        <v>43</v>
      </c>
      <c r="C5" s="19">
        <v>3</v>
      </c>
      <c r="D5" s="25">
        <f>WORKDAY($L$2,C5-1)</f>
        <v>46147</v>
      </c>
      <c r="E5" s="18">
        <f t="shared" ref="E5:E60" ca="1" si="7">IF(C5=1,$L$4,I4)</f>
        <v>1210</v>
      </c>
      <c r="F5" s="46">
        <f t="shared" ref="F5:F60" ca="1" si="8">ROUND(E5*$L$5,2)</f>
        <v>121</v>
      </c>
      <c r="G5" s="45">
        <f t="shared" ca="1" si="3"/>
        <v>-121</v>
      </c>
      <c r="H5" s="26">
        <f t="shared" ca="1" si="4"/>
        <v>-121</v>
      </c>
      <c r="I5" s="26">
        <f t="shared" ca="1" si="5"/>
        <v>1089</v>
      </c>
      <c r="J5" s="6" t="str">
        <f t="shared" ca="1" si="6"/>
        <v>Perdió stop</v>
      </c>
      <c r="K5" s="10" t="s">
        <v>16</v>
      </c>
      <c r="L5" s="16">
        <v>0.1</v>
      </c>
      <c r="M5"/>
      <c r="N5"/>
      <c r="O5" s="12" t="s">
        <v>17</v>
      </c>
      <c r="P5" s="6"/>
    </row>
    <row r="6" spans="1:16" s="1" customFormat="1" ht="20.100000000000001" customHeight="1" x14ac:dyDescent="0.25">
      <c r="A6" s="27">
        <f t="shared" ca="1" si="0"/>
        <v>0.12349401303459562</v>
      </c>
      <c r="B6" s="24">
        <f t="shared" ca="1" si="2"/>
        <v>9</v>
      </c>
      <c r="C6" s="19">
        <v>4</v>
      </c>
      <c r="D6" s="25">
        <f t="shared" si="1"/>
        <v>46148</v>
      </c>
      <c r="E6" s="18">
        <f t="shared" ca="1" si="7"/>
        <v>1089</v>
      </c>
      <c r="F6" s="46">
        <f t="shared" ca="1" si="8"/>
        <v>108.9</v>
      </c>
      <c r="G6" s="45">
        <f ca="1">IF(IF(B6&lt;=ROUND($L$10*$L$6,0),"WIN","LOSS")="LOSS",(F6*-1),(F6*(1+$L$9)))</f>
        <v>217.8</v>
      </c>
      <c r="H6" s="26">
        <f t="shared" ca="1" si="4"/>
        <v>108.9</v>
      </c>
      <c r="I6" s="26">
        <f t="shared" ca="1" si="5"/>
        <v>1197.9000000000001</v>
      </c>
      <c r="J6" s="6" t="str">
        <f t="shared" ca="1" si="6"/>
        <v>Ganó limit</v>
      </c>
      <c r="K6" s="10" t="s">
        <v>18</v>
      </c>
      <c r="L6" s="16">
        <v>0.7</v>
      </c>
      <c r="M6"/>
      <c r="N6"/>
      <c r="O6" s="12" t="s">
        <v>19</v>
      </c>
      <c r="P6" s="6"/>
    </row>
    <row r="7" spans="1:16" s="1" customFormat="1" ht="20.100000000000001" customHeight="1" x14ac:dyDescent="0.25">
      <c r="A7" s="27">
        <f t="shared" ca="1" si="0"/>
        <v>0.74002446147177858</v>
      </c>
      <c r="B7" s="24">
        <f t="shared" ca="1" si="2"/>
        <v>47</v>
      </c>
      <c r="C7" s="19">
        <v>5</v>
      </c>
      <c r="D7" s="25">
        <f t="shared" si="1"/>
        <v>46149</v>
      </c>
      <c r="E7" s="18">
        <f t="shared" ca="1" si="7"/>
        <v>1197.9000000000001</v>
      </c>
      <c r="F7" s="46">
        <f t="shared" ca="1" si="8"/>
        <v>119.79</v>
      </c>
      <c r="G7" s="45">
        <f ca="1">IF(IF(B7&lt;=ROUND($L$10*$L$6,0),"WIN","LOSS")="LOSS",(F7*-1),(F7*(1+$L$9)))</f>
        <v>-119.79</v>
      </c>
      <c r="H7" s="26">
        <f t="shared" ca="1" si="4"/>
        <v>-119.79</v>
      </c>
      <c r="I7" s="26">
        <f t="shared" ca="1" si="5"/>
        <v>1078.1100000000001</v>
      </c>
      <c r="J7" s="6" t="str">
        <f t="shared" ca="1" si="6"/>
        <v>Perdió stop</v>
      </c>
      <c r="K7" s="10" t="s">
        <v>20</v>
      </c>
      <c r="L7" s="17">
        <v>0.86</v>
      </c>
      <c r="M7"/>
      <c r="N7"/>
      <c r="O7" s="12" t="s">
        <v>21</v>
      </c>
      <c r="P7" s="6"/>
    </row>
    <row r="8" spans="1:16" s="1" customFormat="1" ht="20.100000000000001" customHeight="1" x14ac:dyDescent="0.25">
      <c r="A8" s="27">
        <f t="shared" ca="1" si="0"/>
        <v>0.82409589515909387</v>
      </c>
      <c r="B8" s="24">
        <f t="shared" ca="1" si="2"/>
        <v>52</v>
      </c>
      <c r="C8" s="19">
        <v>6</v>
      </c>
      <c r="D8" s="25">
        <f t="shared" si="1"/>
        <v>46150</v>
      </c>
      <c r="E8" s="18">
        <f t="shared" ca="1" si="7"/>
        <v>1078.1100000000001</v>
      </c>
      <c r="F8" s="46">
        <f t="shared" ca="1" si="8"/>
        <v>107.81</v>
      </c>
      <c r="G8" s="45">
        <f t="shared" ca="1" si="3"/>
        <v>-107.81</v>
      </c>
      <c r="H8" s="26">
        <f t="shared" ca="1" si="4"/>
        <v>-107.81</v>
      </c>
      <c r="I8" s="26">
        <f t="shared" ca="1" si="5"/>
        <v>970.30000000000018</v>
      </c>
      <c r="J8" s="6" t="str">
        <f t="shared" ca="1" si="6"/>
        <v>Perdió stop</v>
      </c>
      <c r="K8" s="10" t="s">
        <v>22</v>
      </c>
      <c r="L8" s="16">
        <v>1</v>
      </c>
      <c r="M8"/>
      <c r="N8"/>
      <c r="O8" s="12" t="s">
        <v>23</v>
      </c>
      <c r="P8" s="6"/>
    </row>
    <row r="9" spans="1:16" s="1" customFormat="1" ht="20.100000000000001" customHeight="1" x14ac:dyDescent="0.25">
      <c r="A9" s="27">
        <f t="shared" ca="1" si="0"/>
        <v>0.6226638557799502</v>
      </c>
      <c r="B9" s="24">
        <f t="shared" ca="1" si="2"/>
        <v>39</v>
      </c>
      <c r="C9" s="19">
        <v>7</v>
      </c>
      <c r="D9" s="25">
        <f t="shared" si="1"/>
        <v>46153</v>
      </c>
      <c r="E9" s="18">
        <f t="shared" ca="1" si="7"/>
        <v>970.30000000000018</v>
      </c>
      <c r="F9" s="46">
        <f t="shared" ca="1" si="8"/>
        <v>97.03</v>
      </c>
      <c r="G9" s="45">
        <f t="shared" ca="1" si="3"/>
        <v>194.06</v>
      </c>
      <c r="H9" s="26">
        <f t="shared" ca="1" si="4"/>
        <v>97.03</v>
      </c>
      <c r="I9" s="26">
        <f t="shared" ca="1" si="5"/>
        <v>1067.3300000000002</v>
      </c>
      <c r="J9" s="6" t="str">
        <f t="shared" ca="1" si="6"/>
        <v>Ganó limit</v>
      </c>
      <c r="K9" s="10" t="s">
        <v>24</v>
      </c>
      <c r="L9" s="16">
        <v>1</v>
      </c>
      <c r="M9"/>
      <c r="N9"/>
      <c r="O9" s="12" t="s">
        <v>25</v>
      </c>
      <c r="P9" s="6"/>
    </row>
    <row r="10" spans="1:16" s="1" customFormat="1" ht="20.100000000000001" customHeight="1" x14ac:dyDescent="0.25">
      <c r="A10" s="27">
        <f t="shared" ca="1" si="0"/>
        <v>0.78297428230447497</v>
      </c>
      <c r="B10" s="24">
        <f t="shared" ca="1" si="2"/>
        <v>49</v>
      </c>
      <c r="C10" s="19">
        <v>8</v>
      </c>
      <c r="D10" s="25">
        <f t="shared" si="1"/>
        <v>46154</v>
      </c>
      <c r="E10" s="18">
        <f t="shared" ca="1" si="7"/>
        <v>1067.3300000000002</v>
      </c>
      <c r="F10" s="46">
        <f t="shared" ca="1" si="8"/>
        <v>106.73</v>
      </c>
      <c r="G10" s="45">
        <f t="shared" ca="1" si="3"/>
        <v>-106.73</v>
      </c>
      <c r="H10" s="26">
        <f t="shared" ca="1" si="4"/>
        <v>-106.73</v>
      </c>
      <c r="I10" s="26">
        <f t="shared" ca="1" si="5"/>
        <v>960.60000000000014</v>
      </c>
      <c r="J10" s="6" t="str">
        <f t="shared" ca="1" si="6"/>
        <v>Perdió stop</v>
      </c>
      <c r="K10" s="43" t="s">
        <v>26</v>
      </c>
      <c r="L10" s="44">
        <v>60</v>
      </c>
      <c r="M10" s="7"/>
      <c r="N10" s="9"/>
      <c r="O10" s="13" t="s">
        <v>27</v>
      </c>
      <c r="P10" s="8"/>
    </row>
    <row r="11" spans="1:16" s="1" customFormat="1" ht="20.100000000000001" customHeight="1" x14ac:dyDescent="0.25">
      <c r="A11" s="27">
        <f t="shared" ca="1" si="0"/>
        <v>0.82165915906549225</v>
      </c>
      <c r="B11" s="24">
        <f t="shared" ca="1" si="2"/>
        <v>51</v>
      </c>
      <c r="C11" s="19">
        <v>9</v>
      </c>
      <c r="D11" s="25">
        <f t="shared" si="1"/>
        <v>46155</v>
      </c>
      <c r="E11" s="18">
        <f t="shared" ca="1" si="7"/>
        <v>960.60000000000014</v>
      </c>
      <c r="F11" s="46">
        <f t="shared" ca="1" si="8"/>
        <v>96.06</v>
      </c>
      <c r="G11" s="45">
        <f t="shared" ca="1" si="3"/>
        <v>-96.06</v>
      </c>
      <c r="H11" s="26">
        <f t="shared" ca="1" si="4"/>
        <v>-96.06</v>
      </c>
      <c r="I11" s="26">
        <f t="shared" ca="1" si="5"/>
        <v>864.54000000000019</v>
      </c>
      <c r="J11" s="6" t="str">
        <f t="shared" ca="1" si="6"/>
        <v>Perdió stop</v>
      </c>
    </row>
    <row r="12" spans="1:16" s="1" customFormat="1" ht="20.100000000000001" customHeight="1" x14ac:dyDescent="0.3">
      <c r="A12" s="27">
        <f t="shared" ca="1" si="0"/>
        <v>0.15793732826807194</v>
      </c>
      <c r="B12" s="24">
        <f t="shared" ca="1" si="2"/>
        <v>12</v>
      </c>
      <c r="C12" s="19">
        <v>10</v>
      </c>
      <c r="D12" s="25">
        <f t="shared" si="1"/>
        <v>46156</v>
      </c>
      <c r="E12" s="18">
        <f t="shared" ca="1" si="7"/>
        <v>864.54000000000019</v>
      </c>
      <c r="F12" s="46">
        <f t="shared" ca="1" si="8"/>
        <v>86.45</v>
      </c>
      <c r="G12" s="45">
        <f t="shared" ca="1" si="3"/>
        <v>172.9</v>
      </c>
      <c r="H12" s="26">
        <f t="shared" ca="1" si="4"/>
        <v>86.45</v>
      </c>
      <c r="I12" s="26">
        <f t="shared" ca="1" si="5"/>
        <v>950.99000000000024</v>
      </c>
      <c r="J12" s="6" t="str">
        <f t="shared" ca="1" si="6"/>
        <v>Ganó limit</v>
      </c>
      <c r="K12" s="40" t="s">
        <v>28</v>
      </c>
      <c r="L12" s="41"/>
    </row>
    <row r="13" spans="1:16" s="1" customFormat="1" ht="20.100000000000001" customHeight="1" x14ac:dyDescent="0.25">
      <c r="A13" s="27">
        <f t="shared" ca="1" si="0"/>
        <v>0.81363126929816354</v>
      </c>
      <c r="B13" s="24">
        <f t="shared" ca="1" si="2"/>
        <v>50</v>
      </c>
      <c r="C13" s="19">
        <v>11</v>
      </c>
      <c r="D13" s="25">
        <f t="shared" si="1"/>
        <v>46157</v>
      </c>
      <c r="E13" s="18">
        <f t="shared" ca="1" si="7"/>
        <v>950.99000000000024</v>
      </c>
      <c r="F13" s="46">
        <f t="shared" ca="1" si="8"/>
        <v>95.1</v>
      </c>
      <c r="G13" s="45">
        <f t="shared" ca="1" si="3"/>
        <v>-95.1</v>
      </c>
      <c r="H13" s="26">
        <f t="shared" ca="1" si="4"/>
        <v>-95.1</v>
      </c>
      <c r="I13" s="26">
        <f t="shared" ca="1" si="5"/>
        <v>855.89000000000021</v>
      </c>
      <c r="J13" s="6" t="str">
        <f t="shared" ca="1" si="6"/>
        <v>Perdió stop</v>
      </c>
      <c r="K13" s="10" t="s">
        <v>29</v>
      </c>
      <c r="L13" s="20">
        <f ca="1">IFERROR(INDEX($I$3:$I$60,MATCH($L$3,$D$3:$D$60,1)),$L$4)</f>
        <v>2441.9700000000003</v>
      </c>
    </row>
    <row r="14" spans="1:16" s="1" customFormat="1" ht="20.100000000000001" customHeight="1" x14ac:dyDescent="0.25">
      <c r="A14" s="27">
        <f t="shared" ca="1" si="0"/>
        <v>0.39251306611850068</v>
      </c>
      <c r="B14" s="24">
        <f t="shared" ca="1" si="2"/>
        <v>26</v>
      </c>
      <c r="C14" s="19">
        <v>12</v>
      </c>
      <c r="D14" s="25">
        <f t="shared" si="1"/>
        <v>46160</v>
      </c>
      <c r="E14" s="18">
        <f t="shared" ca="1" si="7"/>
        <v>855.89000000000021</v>
      </c>
      <c r="F14" s="46">
        <f t="shared" ca="1" si="8"/>
        <v>85.59</v>
      </c>
      <c r="G14" s="45">
        <f t="shared" ca="1" si="3"/>
        <v>171.18</v>
      </c>
      <c r="H14" s="26">
        <f t="shared" ca="1" si="4"/>
        <v>85.59</v>
      </c>
      <c r="I14" s="26">
        <f t="shared" ca="1" si="5"/>
        <v>941.48000000000025</v>
      </c>
      <c r="J14" s="6" t="str">
        <f t="shared" ca="1" si="6"/>
        <v>Ganó limit</v>
      </c>
      <c r="K14" s="10" t="s">
        <v>30</v>
      </c>
      <c r="L14" s="20">
        <f ca="1">L13-$L$4</f>
        <v>1441.9700000000003</v>
      </c>
    </row>
    <row r="15" spans="1:16" s="1" customFormat="1" ht="20.100000000000001" customHeight="1" x14ac:dyDescent="0.25">
      <c r="A15" s="27">
        <f t="shared" ca="1" si="0"/>
        <v>0.62737084197755144</v>
      </c>
      <c r="B15" s="24">
        <f t="shared" ca="1" si="2"/>
        <v>40</v>
      </c>
      <c r="C15" s="19">
        <v>13</v>
      </c>
      <c r="D15" s="25">
        <f t="shared" si="1"/>
        <v>46161</v>
      </c>
      <c r="E15" s="18">
        <f t="shared" ca="1" si="7"/>
        <v>941.48000000000025</v>
      </c>
      <c r="F15" s="46">
        <f t="shared" ca="1" si="8"/>
        <v>94.15</v>
      </c>
      <c r="G15" s="45">
        <f t="shared" ca="1" si="3"/>
        <v>188.3</v>
      </c>
      <c r="H15" s="26">
        <f t="shared" ca="1" si="4"/>
        <v>94.15</v>
      </c>
      <c r="I15" s="26">
        <f t="shared" ca="1" si="5"/>
        <v>1035.6300000000003</v>
      </c>
      <c r="J15" s="6" t="str">
        <f t="shared" ca="1" si="6"/>
        <v>Ganó limit</v>
      </c>
      <c r="K15" s="10" t="s">
        <v>31</v>
      </c>
      <c r="L15" s="20">
        <f ca="1">LOOKUP(2,1/($I$3:$I$60&lt;&gt;""),$I$3:$I$60)</f>
        <v>10147.91</v>
      </c>
    </row>
    <row r="16" spans="1:16" s="1" customFormat="1" ht="20.100000000000001" customHeight="1" x14ac:dyDescent="0.25">
      <c r="A16" s="27">
        <f t="shared" ca="1" si="0"/>
        <v>0.62063842904982325</v>
      </c>
      <c r="B16" s="24">
        <f t="shared" ca="1" si="2"/>
        <v>38</v>
      </c>
      <c r="C16" s="19">
        <v>14</v>
      </c>
      <c r="D16" s="25">
        <f t="shared" si="1"/>
        <v>46162</v>
      </c>
      <c r="E16" s="18">
        <f t="shared" ca="1" si="7"/>
        <v>1035.6300000000003</v>
      </c>
      <c r="F16" s="46">
        <f t="shared" ca="1" si="8"/>
        <v>103.56</v>
      </c>
      <c r="G16" s="45">
        <f t="shared" ca="1" si="3"/>
        <v>207.12</v>
      </c>
      <c r="H16" s="26">
        <f t="shared" ca="1" si="4"/>
        <v>103.56</v>
      </c>
      <c r="I16" s="26">
        <f t="shared" ca="1" si="5"/>
        <v>1139.1900000000003</v>
      </c>
      <c r="J16" s="6" t="str">
        <f t="shared" ca="1" si="6"/>
        <v>Ganó limit</v>
      </c>
      <c r="K16" s="10" t="s">
        <v>32</v>
      </c>
      <c r="L16" s="21">
        <f>ROUND($L$10*$L$6,0)</f>
        <v>42</v>
      </c>
    </row>
    <row r="17" spans="1:12" s="1" customFormat="1" ht="20.100000000000001" customHeight="1" x14ac:dyDescent="0.25">
      <c r="A17" s="27">
        <f t="shared" ca="1" si="0"/>
        <v>0.11703916924710622</v>
      </c>
      <c r="B17" s="24">
        <f t="shared" ca="1" si="2"/>
        <v>8</v>
      </c>
      <c r="C17" s="19">
        <v>15</v>
      </c>
      <c r="D17" s="25">
        <f t="shared" si="1"/>
        <v>46163</v>
      </c>
      <c r="E17" s="18">
        <f t="shared" ca="1" si="7"/>
        <v>1139.1900000000003</v>
      </c>
      <c r="F17" s="46">
        <f t="shared" ca="1" si="8"/>
        <v>113.92</v>
      </c>
      <c r="G17" s="45">
        <f t="shared" ca="1" si="3"/>
        <v>227.84</v>
      </c>
      <c r="H17" s="26">
        <f t="shared" ca="1" si="4"/>
        <v>113.92</v>
      </c>
      <c r="I17" s="26">
        <f t="shared" ca="1" si="5"/>
        <v>1253.1100000000004</v>
      </c>
      <c r="J17" s="6" t="str">
        <f t="shared" ca="1" si="6"/>
        <v>Ganó limit</v>
      </c>
      <c r="K17" s="11" t="s">
        <v>33</v>
      </c>
      <c r="L17" s="22">
        <f>$L$10-L16</f>
        <v>18</v>
      </c>
    </row>
    <row r="18" spans="1:12" s="1" customFormat="1" ht="18" customHeight="1" x14ac:dyDescent="0.25">
      <c r="A18" s="27">
        <f t="shared" ca="1" si="0"/>
        <v>0.54830222726462274</v>
      </c>
      <c r="B18" s="24">
        <f t="shared" ca="1" si="2"/>
        <v>33</v>
      </c>
      <c r="C18" s="19">
        <v>16</v>
      </c>
      <c r="D18" s="25">
        <f t="shared" si="1"/>
        <v>46164</v>
      </c>
      <c r="E18" s="18">
        <f t="shared" ca="1" si="7"/>
        <v>1253.1100000000004</v>
      </c>
      <c r="F18" s="46">
        <f t="shared" ca="1" si="8"/>
        <v>125.31</v>
      </c>
      <c r="G18" s="45">
        <f t="shared" ca="1" si="3"/>
        <v>250.62</v>
      </c>
      <c r="H18" s="26">
        <f t="shared" ca="1" si="4"/>
        <v>125.31</v>
      </c>
      <c r="I18" s="26">
        <f t="shared" ca="1" si="5"/>
        <v>1378.4200000000003</v>
      </c>
      <c r="J18" s="6" t="str">
        <f t="shared" ca="1" si="6"/>
        <v>Ganó limit</v>
      </c>
    </row>
    <row r="19" spans="1:12" s="1" customFormat="1" ht="18" customHeight="1" x14ac:dyDescent="0.25">
      <c r="A19" s="27">
        <f t="shared" ca="1" si="0"/>
        <v>0.45820026180434881</v>
      </c>
      <c r="B19" s="24">
        <f t="shared" ca="1" si="2"/>
        <v>28</v>
      </c>
      <c r="C19" s="19">
        <v>17</v>
      </c>
      <c r="D19" s="25">
        <f t="shared" si="1"/>
        <v>46167</v>
      </c>
      <c r="E19" s="18">
        <f t="shared" ca="1" si="7"/>
        <v>1378.4200000000003</v>
      </c>
      <c r="F19" s="46">
        <f t="shared" ca="1" si="8"/>
        <v>137.84</v>
      </c>
      <c r="G19" s="45">
        <f t="shared" ca="1" si="3"/>
        <v>275.68</v>
      </c>
      <c r="H19" s="26">
        <f t="shared" ca="1" si="4"/>
        <v>137.84</v>
      </c>
      <c r="I19" s="26">
        <f t="shared" ca="1" si="5"/>
        <v>1516.2600000000002</v>
      </c>
      <c r="J19" s="6" t="str">
        <f t="shared" ca="1" si="6"/>
        <v>Ganó limit</v>
      </c>
    </row>
    <row r="20" spans="1:12" s="1" customFormat="1" ht="18" customHeight="1" x14ac:dyDescent="0.25">
      <c r="A20" s="27">
        <f t="shared" ca="1" si="0"/>
        <v>0.49354827776374965</v>
      </c>
      <c r="B20" s="24">
        <f t="shared" ca="1" si="2"/>
        <v>30</v>
      </c>
      <c r="C20" s="19">
        <v>18</v>
      </c>
      <c r="D20" s="25">
        <f t="shared" si="1"/>
        <v>46168</v>
      </c>
      <c r="E20" s="18">
        <f t="shared" ca="1" si="7"/>
        <v>1516.2600000000002</v>
      </c>
      <c r="F20" s="46">
        <f t="shared" ca="1" si="8"/>
        <v>151.63</v>
      </c>
      <c r="G20" s="45">
        <f t="shared" ca="1" si="3"/>
        <v>303.26</v>
      </c>
      <c r="H20" s="26">
        <f t="shared" ca="1" si="4"/>
        <v>151.63</v>
      </c>
      <c r="I20" s="26">
        <f t="shared" ca="1" si="5"/>
        <v>1667.8900000000003</v>
      </c>
      <c r="J20" s="6" t="str">
        <f t="shared" ca="1" si="6"/>
        <v>Ganó limit</v>
      </c>
    </row>
    <row r="21" spans="1:12" s="1" customFormat="1" ht="18" customHeight="1" x14ac:dyDescent="0.25">
      <c r="A21" s="27">
        <f t="shared" ca="1" si="0"/>
        <v>0.53928835586938084</v>
      </c>
      <c r="B21" s="24">
        <f t="shared" ca="1" si="2"/>
        <v>31</v>
      </c>
      <c r="C21" s="19">
        <v>19</v>
      </c>
      <c r="D21" s="25">
        <f t="shared" si="1"/>
        <v>46169</v>
      </c>
      <c r="E21" s="18">
        <f t="shared" ca="1" si="7"/>
        <v>1667.8900000000003</v>
      </c>
      <c r="F21" s="46">
        <f t="shared" ca="1" si="8"/>
        <v>166.79</v>
      </c>
      <c r="G21" s="45">
        <f t="shared" ca="1" si="3"/>
        <v>333.58</v>
      </c>
      <c r="H21" s="26">
        <f t="shared" ca="1" si="4"/>
        <v>166.79</v>
      </c>
      <c r="I21" s="26">
        <f t="shared" ca="1" si="5"/>
        <v>1834.6800000000003</v>
      </c>
      <c r="J21" s="6" t="str">
        <f t="shared" ca="1" si="6"/>
        <v>Ganó limit</v>
      </c>
    </row>
    <row r="22" spans="1:12" s="1" customFormat="1" ht="18" customHeight="1" x14ac:dyDescent="0.25">
      <c r="A22" s="27">
        <f t="shared" ca="1" si="0"/>
        <v>0.30307019274349323</v>
      </c>
      <c r="B22" s="24">
        <f t="shared" ca="1" si="2"/>
        <v>20</v>
      </c>
      <c r="C22" s="19">
        <v>20</v>
      </c>
      <c r="D22" s="25">
        <f t="shared" si="1"/>
        <v>46170</v>
      </c>
      <c r="E22" s="18">
        <f t="shared" ca="1" si="7"/>
        <v>1834.6800000000003</v>
      </c>
      <c r="F22" s="46">
        <f t="shared" ca="1" si="8"/>
        <v>183.47</v>
      </c>
      <c r="G22" s="45">
        <f t="shared" ca="1" si="3"/>
        <v>366.94</v>
      </c>
      <c r="H22" s="26">
        <f t="shared" ca="1" si="4"/>
        <v>183.47</v>
      </c>
      <c r="I22" s="26">
        <f t="shared" ca="1" si="5"/>
        <v>2018.1500000000003</v>
      </c>
      <c r="J22" s="6" t="str">
        <f t="shared" ca="1" si="6"/>
        <v>Ganó limit</v>
      </c>
    </row>
    <row r="23" spans="1:12" s="1" customFormat="1" ht="18" customHeight="1" x14ac:dyDescent="0.25">
      <c r="A23" s="27">
        <f t="shared" ca="1" si="0"/>
        <v>0.28509770655524969</v>
      </c>
      <c r="B23" s="24">
        <f t="shared" ca="1" si="2"/>
        <v>18</v>
      </c>
      <c r="C23" s="19">
        <v>21</v>
      </c>
      <c r="D23" s="25">
        <f t="shared" si="1"/>
        <v>46171</v>
      </c>
      <c r="E23" s="18">
        <f t="shared" ca="1" si="7"/>
        <v>2018.1500000000003</v>
      </c>
      <c r="F23" s="46">
        <f t="shared" ca="1" si="8"/>
        <v>201.82</v>
      </c>
      <c r="G23" s="45">
        <f t="shared" ca="1" si="3"/>
        <v>403.64</v>
      </c>
      <c r="H23" s="26">
        <f t="shared" ca="1" si="4"/>
        <v>201.82</v>
      </c>
      <c r="I23" s="26">
        <f t="shared" ca="1" si="5"/>
        <v>2219.9700000000003</v>
      </c>
      <c r="J23" s="6" t="str">
        <f t="shared" ca="1" si="6"/>
        <v>Ganó limit</v>
      </c>
    </row>
    <row r="24" spans="1:12" s="1" customFormat="1" ht="18" customHeight="1" x14ac:dyDescent="0.25">
      <c r="A24" s="27">
        <f t="shared" ca="1" si="0"/>
        <v>8.7023896434132442E-2</v>
      </c>
      <c r="B24" s="24">
        <f t="shared" ca="1" si="2"/>
        <v>5</v>
      </c>
      <c r="C24" s="19">
        <v>22</v>
      </c>
      <c r="D24" s="25">
        <f t="shared" si="1"/>
        <v>46174</v>
      </c>
      <c r="E24" s="18">
        <f t="shared" ca="1" si="7"/>
        <v>2219.9700000000003</v>
      </c>
      <c r="F24" s="46">
        <f t="shared" ca="1" si="8"/>
        <v>222</v>
      </c>
      <c r="G24" s="45">
        <f t="shared" ca="1" si="3"/>
        <v>444</v>
      </c>
      <c r="H24" s="26">
        <f t="shared" ca="1" si="4"/>
        <v>222</v>
      </c>
      <c r="I24" s="26">
        <f t="shared" ca="1" si="5"/>
        <v>2441.9700000000003</v>
      </c>
      <c r="J24" s="6" t="str">
        <f t="shared" ca="1" si="6"/>
        <v>Ganó limit</v>
      </c>
    </row>
    <row r="25" spans="1:12" s="1" customFormat="1" ht="18" customHeight="1" x14ac:dyDescent="0.25">
      <c r="A25" s="27">
        <f t="shared" ca="1" si="0"/>
        <v>0.31925433411564363</v>
      </c>
      <c r="B25" s="24">
        <f t="shared" ca="1" si="2"/>
        <v>22</v>
      </c>
      <c r="C25" s="19">
        <v>23</v>
      </c>
      <c r="D25" s="25">
        <f t="shared" si="1"/>
        <v>46175</v>
      </c>
      <c r="E25" s="18">
        <f t="shared" ca="1" si="7"/>
        <v>2441.9700000000003</v>
      </c>
      <c r="F25" s="46">
        <f t="shared" ca="1" si="8"/>
        <v>244.2</v>
      </c>
      <c r="G25" s="45">
        <f t="shared" ca="1" si="3"/>
        <v>488.4</v>
      </c>
      <c r="H25" s="26">
        <f t="shared" ca="1" si="4"/>
        <v>244.2</v>
      </c>
      <c r="I25" s="26">
        <f t="shared" ca="1" si="5"/>
        <v>2686.17</v>
      </c>
      <c r="J25" s="6" t="str">
        <f t="shared" ca="1" si="6"/>
        <v>Ganó limit</v>
      </c>
    </row>
    <row r="26" spans="1:12" s="1" customFormat="1" ht="18" customHeight="1" x14ac:dyDescent="0.25">
      <c r="A26" s="27">
        <f t="shared" ca="1" si="0"/>
        <v>0.27201977346732986</v>
      </c>
      <c r="B26" s="24">
        <f t="shared" ca="1" si="2"/>
        <v>17</v>
      </c>
      <c r="C26" s="19">
        <v>24</v>
      </c>
      <c r="D26" s="25">
        <f t="shared" si="1"/>
        <v>46176</v>
      </c>
      <c r="E26" s="18">
        <f t="shared" ca="1" si="7"/>
        <v>2686.17</v>
      </c>
      <c r="F26" s="46">
        <f t="shared" ca="1" si="8"/>
        <v>268.62</v>
      </c>
      <c r="G26" s="45">
        <f t="shared" ca="1" si="3"/>
        <v>537.24</v>
      </c>
      <c r="H26" s="26">
        <f t="shared" ca="1" si="4"/>
        <v>268.62</v>
      </c>
      <c r="I26" s="26">
        <f t="shared" ca="1" si="5"/>
        <v>2954.79</v>
      </c>
      <c r="J26" s="6" t="str">
        <f t="shared" ca="1" si="6"/>
        <v>Ganó limit</v>
      </c>
    </row>
    <row r="27" spans="1:12" s="1" customFormat="1" ht="18" customHeight="1" x14ac:dyDescent="0.25">
      <c r="A27" s="27">
        <f t="shared" ca="1" si="0"/>
        <v>0.98463294704873805</v>
      </c>
      <c r="B27" s="24">
        <f t="shared" ca="1" si="2"/>
        <v>58</v>
      </c>
      <c r="C27" s="19">
        <v>25</v>
      </c>
      <c r="D27" s="25">
        <f t="shared" si="1"/>
        <v>46177</v>
      </c>
      <c r="E27" s="18">
        <f t="shared" ca="1" si="7"/>
        <v>2954.79</v>
      </c>
      <c r="F27" s="46">
        <f t="shared" ca="1" si="8"/>
        <v>295.48</v>
      </c>
      <c r="G27" s="45">
        <f t="shared" ca="1" si="3"/>
        <v>-295.48</v>
      </c>
      <c r="H27" s="26">
        <f t="shared" ca="1" si="4"/>
        <v>-295.48</v>
      </c>
      <c r="I27" s="26">
        <f t="shared" ca="1" si="5"/>
        <v>2659.31</v>
      </c>
      <c r="J27" s="6" t="str">
        <f t="shared" ca="1" si="6"/>
        <v>Perdió stop</v>
      </c>
    </row>
    <row r="28" spans="1:12" s="1" customFormat="1" ht="18" customHeight="1" x14ac:dyDescent="0.25">
      <c r="A28" s="27">
        <f t="shared" ca="1" si="0"/>
        <v>0.10000960722880381</v>
      </c>
      <c r="B28" s="24">
        <f t="shared" ca="1" si="2"/>
        <v>7</v>
      </c>
      <c r="C28" s="19">
        <v>26</v>
      </c>
      <c r="D28" s="25">
        <f t="shared" si="1"/>
        <v>46178</v>
      </c>
      <c r="E28" s="18">
        <f t="shared" ca="1" si="7"/>
        <v>2659.31</v>
      </c>
      <c r="F28" s="46">
        <f t="shared" ca="1" si="8"/>
        <v>265.93</v>
      </c>
      <c r="G28" s="45">
        <f t="shared" ca="1" si="3"/>
        <v>531.86</v>
      </c>
      <c r="H28" s="26">
        <f t="shared" ca="1" si="4"/>
        <v>265.93</v>
      </c>
      <c r="I28" s="26">
        <f t="shared" ca="1" si="5"/>
        <v>2925.24</v>
      </c>
      <c r="J28" s="6" t="str">
        <f t="shared" ca="1" si="6"/>
        <v>Ganó limit</v>
      </c>
    </row>
    <row r="29" spans="1:12" s="1" customFormat="1" ht="18" customHeight="1" x14ac:dyDescent="0.25">
      <c r="A29" s="27">
        <f t="shared" ca="1" si="0"/>
        <v>0.94189196392994845</v>
      </c>
      <c r="B29" s="24">
        <f t="shared" ca="1" si="2"/>
        <v>56</v>
      </c>
      <c r="C29" s="19">
        <v>27</v>
      </c>
      <c r="D29" s="25">
        <f t="shared" si="1"/>
        <v>46181</v>
      </c>
      <c r="E29" s="18">
        <f t="shared" ca="1" si="7"/>
        <v>2925.24</v>
      </c>
      <c r="F29" s="46">
        <f t="shared" ca="1" si="8"/>
        <v>292.52</v>
      </c>
      <c r="G29" s="45">
        <f t="shared" ca="1" si="3"/>
        <v>-292.52</v>
      </c>
      <c r="H29" s="26">
        <f t="shared" ca="1" si="4"/>
        <v>-292.52</v>
      </c>
      <c r="I29" s="26">
        <f t="shared" ca="1" si="5"/>
        <v>2632.72</v>
      </c>
      <c r="J29" s="6" t="str">
        <f t="shared" ca="1" si="6"/>
        <v>Perdió stop</v>
      </c>
    </row>
    <row r="30" spans="1:12" s="1" customFormat="1" ht="18" customHeight="1" x14ac:dyDescent="0.25">
      <c r="A30" s="27">
        <f t="shared" ca="1" si="0"/>
        <v>6.0096197039373189E-3</v>
      </c>
      <c r="B30" s="24">
        <f t="shared" ca="1" si="2"/>
        <v>1</v>
      </c>
      <c r="C30" s="19">
        <v>28</v>
      </c>
      <c r="D30" s="25">
        <f t="shared" si="1"/>
        <v>46182</v>
      </c>
      <c r="E30" s="18">
        <f t="shared" ca="1" si="7"/>
        <v>2632.72</v>
      </c>
      <c r="F30" s="46">
        <f t="shared" ca="1" si="8"/>
        <v>263.27</v>
      </c>
      <c r="G30" s="45">
        <f t="shared" ca="1" si="3"/>
        <v>526.54</v>
      </c>
      <c r="H30" s="26">
        <f t="shared" ca="1" si="4"/>
        <v>263.27</v>
      </c>
      <c r="I30" s="26">
        <f t="shared" ca="1" si="5"/>
        <v>2895.99</v>
      </c>
      <c r="J30" s="6" t="str">
        <f t="shared" ca="1" si="6"/>
        <v>Ganó limit</v>
      </c>
    </row>
    <row r="31" spans="1:12" s="1" customFormat="1" ht="18" customHeight="1" x14ac:dyDescent="0.25">
      <c r="A31" s="27">
        <f t="shared" ca="1" si="0"/>
        <v>8.8283674436054227E-2</v>
      </c>
      <c r="B31" s="24">
        <f t="shared" ca="1" si="2"/>
        <v>6</v>
      </c>
      <c r="C31" s="19">
        <v>29</v>
      </c>
      <c r="D31" s="25">
        <f t="shared" si="1"/>
        <v>46183</v>
      </c>
      <c r="E31" s="18">
        <f t="shared" ca="1" si="7"/>
        <v>2895.99</v>
      </c>
      <c r="F31" s="46">
        <f t="shared" ca="1" si="8"/>
        <v>289.60000000000002</v>
      </c>
      <c r="G31" s="45">
        <f t="shared" ca="1" si="3"/>
        <v>579.20000000000005</v>
      </c>
      <c r="H31" s="26">
        <f t="shared" ca="1" si="4"/>
        <v>289.60000000000002</v>
      </c>
      <c r="I31" s="26">
        <f t="shared" ca="1" si="5"/>
        <v>3185.5899999999997</v>
      </c>
      <c r="J31" s="6" t="str">
        <f t="shared" ca="1" si="6"/>
        <v>Ganó limit</v>
      </c>
    </row>
    <row r="32" spans="1:12" s="1" customFormat="1" ht="18" customHeight="1" x14ac:dyDescent="0.25">
      <c r="A32" s="27">
        <f t="shared" ca="1" si="0"/>
        <v>0.22238657541658602</v>
      </c>
      <c r="B32" s="24">
        <f t="shared" ca="1" si="2"/>
        <v>13</v>
      </c>
      <c r="C32" s="19">
        <v>30</v>
      </c>
      <c r="D32" s="25">
        <f t="shared" si="1"/>
        <v>46184</v>
      </c>
      <c r="E32" s="18">
        <f t="shared" ca="1" si="7"/>
        <v>3185.5899999999997</v>
      </c>
      <c r="F32" s="46">
        <f t="shared" ca="1" si="8"/>
        <v>318.56</v>
      </c>
      <c r="G32" s="45">
        <f t="shared" ca="1" si="3"/>
        <v>637.12</v>
      </c>
      <c r="H32" s="26">
        <f t="shared" ca="1" si="4"/>
        <v>318.56</v>
      </c>
      <c r="I32" s="26">
        <f t="shared" ca="1" si="5"/>
        <v>3504.1499999999996</v>
      </c>
      <c r="J32" s="6" t="str">
        <f t="shared" ca="1" si="6"/>
        <v>Ganó limit</v>
      </c>
    </row>
    <row r="33" spans="1:10" s="1" customFormat="1" ht="18" customHeight="1" x14ac:dyDescent="0.25">
      <c r="A33" s="27">
        <f t="shared" ca="1" si="0"/>
        <v>0.43734222795972744</v>
      </c>
      <c r="B33" s="24">
        <f t="shared" ca="1" si="2"/>
        <v>27</v>
      </c>
      <c r="C33" s="19">
        <v>31</v>
      </c>
      <c r="D33" s="25">
        <f t="shared" si="1"/>
        <v>46185</v>
      </c>
      <c r="E33" s="18">
        <f t="shared" ca="1" si="7"/>
        <v>3504.1499999999996</v>
      </c>
      <c r="F33" s="46">
        <f t="shared" ca="1" si="8"/>
        <v>350.42</v>
      </c>
      <c r="G33" s="45">
        <f t="shared" ca="1" si="3"/>
        <v>700.84</v>
      </c>
      <c r="H33" s="26">
        <f t="shared" ca="1" si="4"/>
        <v>350.42</v>
      </c>
      <c r="I33" s="26">
        <f t="shared" ca="1" si="5"/>
        <v>3854.5699999999997</v>
      </c>
      <c r="J33" s="6" t="str">
        <f t="shared" ca="1" si="6"/>
        <v>Ganó limit</v>
      </c>
    </row>
    <row r="34" spans="1:10" s="1" customFormat="1" ht="18" customHeight="1" x14ac:dyDescent="0.25">
      <c r="A34" s="27">
        <f t="shared" ca="1" si="0"/>
        <v>0.31293026534975532</v>
      </c>
      <c r="B34" s="24">
        <f t="shared" ca="1" si="2"/>
        <v>21</v>
      </c>
      <c r="C34" s="19">
        <v>32</v>
      </c>
      <c r="D34" s="25">
        <f t="shared" si="1"/>
        <v>46188</v>
      </c>
      <c r="E34" s="18">
        <f t="shared" ca="1" si="7"/>
        <v>3854.5699999999997</v>
      </c>
      <c r="F34" s="46">
        <f t="shared" ca="1" si="8"/>
        <v>385.46</v>
      </c>
      <c r="G34" s="45">
        <f t="shared" ca="1" si="3"/>
        <v>770.92</v>
      </c>
      <c r="H34" s="26">
        <f t="shared" ca="1" si="4"/>
        <v>385.46</v>
      </c>
      <c r="I34" s="26">
        <f t="shared" ca="1" si="5"/>
        <v>4240.03</v>
      </c>
      <c r="J34" s="6" t="str">
        <f t="shared" ca="1" si="6"/>
        <v>Ganó limit</v>
      </c>
    </row>
    <row r="35" spans="1:10" s="1" customFormat="1" ht="18" customHeight="1" x14ac:dyDescent="0.25">
      <c r="A35" s="27">
        <f t="shared" ca="1" si="0"/>
        <v>5.9332915871336933E-2</v>
      </c>
      <c r="B35" s="24">
        <f t="shared" ref="B35:B66" ca="1" si="9">RANK(A35,$A$3:$A$60,1)</f>
        <v>4</v>
      </c>
      <c r="C35" s="19">
        <v>33</v>
      </c>
      <c r="D35" s="25">
        <f t="shared" si="1"/>
        <v>46189</v>
      </c>
      <c r="E35" s="18">
        <f t="shared" ca="1" si="7"/>
        <v>4240.03</v>
      </c>
      <c r="F35" s="46">
        <f t="shared" ca="1" si="8"/>
        <v>424</v>
      </c>
      <c r="G35" s="45">
        <f t="shared" ca="1" si="3"/>
        <v>848</v>
      </c>
      <c r="H35" s="26">
        <f t="shared" ca="1" si="4"/>
        <v>424</v>
      </c>
      <c r="I35" s="26">
        <f t="shared" ca="1" si="5"/>
        <v>4664.03</v>
      </c>
      <c r="J35" s="6" t="str">
        <f t="shared" ca="1" si="6"/>
        <v>Ganó limit</v>
      </c>
    </row>
    <row r="36" spans="1:10" s="1" customFormat="1" ht="18" customHeight="1" x14ac:dyDescent="0.25">
      <c r="A36" s="27">
        <f t="shared" ca="1" si="0"/>
        <v>0.55797351600337619</v>
      </c>
      <c r="B36" s="24">
        <f t="shared" ca="1" si="9"/>
        <v>35</v>
      </c>
      <c r="C36" s="19">
        <v>34</v>
      </c>
      <c r="D36" s="25">
        <f t="shared" si="1"/>
        <v>46190</v>
      </c>
      <c r="E36" s="18">
        <f t="shared" ca="1" si="7"/>
        <v>4664.03</v>
      </c>
      <c r="F36" s="46">
        <f t="shared" ca="1" si="8"/>
        <v>466.4</v>
      </c>
      <c r="G36" s="45">
        <f t="shared" ca="1" si="3"/>
        <v>932.8</v>
      </c>
      <c r="H36" s="26">
        <f t="shared" ca="1" si="4"/>
        <v>466.4</v>
      </c>
      <c r="I36" s="26">
        <f t="shared" ca="1" si="5"/>
        <v>5130.4299999999994</v>
      </c>
      <c r="J36" s="6" t="str">
        <f t="shared" ca="1" si="6"/>
        <v>Ganó limit</v>
      </c>
    </row>
    <row r="37" spans="1:10" s="1" customFormat="1" ht="18" customHeight="1" x14ac:dyDescent="0.25">
      <c r="A37" s="27">
        <f t="shared" ca="1" si="0"/>
        <v>7.7442711643997963E-3</v>
      </c>
      <c r="B37" s="24">
        <f t="shared" ca="1" si="9"/>
        <v>2</v>
      </c>
      <c r="C37" s="19">
        <v>35</v>
      </c>
      <c r="D37" s="25">
        <f t="shared" si="1"/>
        <v>46191</v>
      </c>
      <c r="E37" s="18">
        <f t="shared" ca="1" si="7"/>
        <v>5130.4299999999994</v>
      </c>
      <c r="F37" s="46">
        <f t="shared" ca="1" si="8"/>
        <v>513.04</v>
      </c>
      <c r="G37" s="45">
        <f t="shared" ca="1" si="3"/>
        <v>1026.08</v>
      </c>
      <c r="H37" s="26">
        <f t="shared" ca="1" si="4"/>
        <v>513.04</v>
      </c>
      <c r="I37" s="26">
        <f t="shared" ca="1" si="5"/>
        <v>5643.4699999999993</v>
      </c>
      <c r="J37" s="6" t="str">
        <f t="shared" ca="1" si="6"/>
        <v>Ganó limit</v>
      </c>
    </row>
    <row r="38" spans="1:10" s="1" customFormat="1" ht="18" customHeight="1" x14ac:dyDescent="0.25">
      <c r="A38" s="27">
        <f t="shared" ca="1" si="0"/>
        <v>0.32267127614593627</v>
      </c>
      <c r="B38" s="24">
        <f t="shared" ca="1" si="9"/>
        <v>23</v>
      </c>
      <c r="C38" s="19">
        <v>36</v>
      </c>
      <c r="D38" s="25">
        <f t="shared" si="1"/>
        <v>46192</v>
      </c>
      <c r="E38" s="18">
        <f t="shared" ca="1" si="7"/>
        <v>5643.4699999999993</v>
      </c>
      <c r="F38" s="46">
        <f t="shared" ca="1" si="8"/>
        <v>564.35</v>
      </c>
      <c r="G38" s="45">
        <f t="shared" ca="1" si="3"/>
        <v>1128.7</v>
      </c>
      <c r="H38" s="26">
        <f t="shared" ca="1" si="4"/>
        <v>564.35</v>
      </c>
      <c r="I38" s="26">
        <f t="shared" ca="1" si="5"/>
        <v>6207.82</v>
      </c>
      <c r="J38" s="6" t="str">
        <f t="shared" ca="1" si="6"/>
        <v>Ganó limit</v>
      </c>
    </row>
    <row r="39" spans="1:10" s="1" customFormat="1" ht="18" customHeight="1" x14ac:dyDescent="0.25">
      <c r="A39" s="27">
        <f t="shared" ca="1" si="0"/>
        <v>0.72836839535241871</v>
      </c>
      <c r="B39" s="24">
        <f t="shared" ca="1" si="9"/>
        <v>46</v>
      </c>
      <c r="C39" s="19">
        <v>37</v>
      </c>
      <c r="D39" s="25">
        <f t="shared" si="1"/>
        <v>46195</v>
      </c>
      <c r="E39" s="18">
        <f t="shared" ca="1" si="7"/>
        <v>6207.82</v>
      </c>
      <c r="F39" s="46">
        <f t="shared" ca="1" si="8"/>
        <v>620.78</v>
      </c>
      <c r="G39" s="45">
        <f t="shared" ca="1" si="3"/>
        <v>-620.78</v>
      </c>
      <c r="H39" s="26">
        <f t="shared" ca="1" si="4"/>
        <v>-620.78</v>
      </c>
      <c r="I39" s="26">
        <f t="shared" ca="1" si="5"/>
        <v>5587.04</v>
      </c>
      <c r="J39" s="6" t="str">
        <f t="shared" ca="1" si="6"/>
        <v>Perdió stop</v>
      </c>
    </row>
    <row r="40" spans="1:10" s="1" customFormat="1" ht="18" customHeight="1" x14ac:dyDescent="0.25">
      <c r="A40" s="27">
        <f t="shared" ca="1" si="0"/>
        <v>0.48905213487865218</v>
      </c>
      <c r="B40" s="24">
        <f t="shared" ca="1" si="9"/>
        <v>29</v>
      </c>
      <c r="C40" s="19">
        <v>38</v>
      </c>
      <c r="D40" s="25">
        <f t="shared" si="1"/>
        <v>46196</v>
      </c>
      <c r="E40" s="18">
        <f t="shared" ca="1" si="7"/>
        <v>5587.04</v>
      </c>
      <c r="F40" s="46">
        <f t="shared" ca="1" si="8"/>
        <v>558.70000000000005</v>
      </c>
      <c r="G40" s="45">
        <f t="shared" ca="1" si="3"/>
        <v>1117.4000000000001</v>
      </c>
      <c r="H40" s="26">
        <f t="shared" ca="1" si="4"/>
        <v>558.70000000000005</v>
      </c>
      <c r="I40" s="26">
        <f t="shared" ca="1" si="5"/>
        <v>6145.74</v>
      </c>
      <c r="J40" s="6" t="str">
        <f t="shared" ca="1" si="6"/>
        <v>Ganó limit</v>
      </c>
    </row>
    <row r="41" spans="1:10" s="1" customFormat="1" ht="18" customHeight="1" x14ac:dyDescent="0.25">
      <c r="A41" s="27">
        <f t="shared" ca="1" si="0"/>
        <v>0.14705373541706768</v>
      </c>
      <c r="B41" s="24">
        <f t="shared" ca="1" si="9"/>
        <v>10</v>
      </c>
      <c r="C41" s="19">
        <v>39</v>
      </c>
      <c r="D41" s="25">
        <f t="shared" si="1"/>
        <v>46197</v>
      </c>
      <c r="E41" s="18">
        <f t="shared" ca="1" si="7"/>
        <v>6145.74</v>
      </c>
      <c r="F41" s="46">
        <f t="shared" ca="1" si="8"/>
        <v>614.57000000000005</v>
      </c>
      <c r="G41" s="45">
        <f t="shared" ca="1" si="3"/>
        <v>1229.1400000000001</v>
      </c>
      <c r="H41" s="26">
        <f t="shared" ca="1" si="4"/>
        <v>614.57000000000005</v>
      </c>
      <c r="I41" s="26">
        <f t="shared" ca="1" si="5"/>
        <v>6760.3099999999995</v>
      </c>
      <c r="J41" s="6" t="str">
        <f t="shared" ca="1" si="6"/>
        <v>Ganó limit</v>
      </c>
    </row>
    <row r="42" spans="1:10" s="1" customFormat="1" ht="18" customHeight="1" x14ac:dyDescent="0.25">
      <c r="A42" s="27">
        <f t="shared" ca="1" si="0"/>
        <v>0.57069010413738763</v>
      </c>
      <c r="B42" s="24">
        <f t="shared" ca="1" si="9"/>
        <v>37</v>
      </c>
      <c r="C42" s="19">
        <v>40</v>
      </c>
      <c r="D42" s="25">
        <f t="shared" si="1"/>
        <v>46198</v>
      </c>
      <c r="E42" s="18">
        <f t="shared" ca="1" si="7"/>
        <v>6760.3099999999995</v>
      </c>
      <c r="F42" s="46">
        <f t="shared" ca="1" si="8"/>
        <v>676.03</v>
      </c>
      <c r="G42" s="45">
        <f t="shared" ca="1" si="3"/>
        <v>1352.06</v>
      </c>
      <c r="H42" s="26">
        <f t="shared" ca="1" si="4"/>
        <v>676.03</v>
      </c>
      <c r="I42" s="26">
        <f t="shared" ca="1" si="5"/>
        <v>7436.3399999999992</v>
      </c>
      <c r="J42" s="6" t="str">
        <f t="shared" ca="1" si="6"/>
        <v>Ganó limit</v>
      </c>
    </row>
    <row r="43" spans="1:10" s="1" customFormat="1" ht="18" customHeight="1" x14ac:dyDescent="0.25">
      <c r="A43" s="27">
        <f t="shared" ca="1" si="0"/>
        <v>0.76263035542162716</v>
      </c>
      <c r="B43" s="24">
        <f t="shared" ca="1" si="9"/>
        <v>48</v>
      </c>
      <c r="C43" s="19">
        <v>41</v>
      </c>
      <c r="D43" s="25">
        <f t="shared" si="1"/>
        <v>46199</v>
      </c>
      <c r="E43" s="18">
        <f t="shared" ca="1" si="7"/>
        <v>7436.3399999999992</v>
      </c>
      <c r="F43" s="46">
        <f t="shared" ca="1" si="8"/>
        <v>743.63</v>
      </c>
      <c r="G43" s="45">
        <f t="shared" ca="1" si="3"/>
        <v>-743.63</v>
      </c>
      <c r="H43" s="26">
        <f t="shared" ca="1" si="4"/>
        <v>-743.63</v>
      </c>
      <c r="I43" s="26">
        <f t="shared" ca="1" si="5"/>
        <v>6692.7099999999991</v>
      </c>
      <c r="J43" s="6" t="str">
        <f t="shared" ca="1" si="6"/>
        <v>Perdió stop</v>
      </c>
    </row>
    <row r="44" spans="1:10" s="1" customFormat="1" ht="18" customHeight="1" x14ac:dyDescent="0.25">
      <c r="A44" s="27">
        <f t="shared" ca="1" si="0"/>
        <v>0.22518111068228241</v>
      </c>
      <c r="B44" s="24">
        <f t="shared" ca="1" si="9"/>
        <v>15</v>
      </c>
      <c r="C44" s="19">
        <v>42</v>
      </c>
      <c r="D44" s="25">
        <f t="shared" si="1"/>
        <v>46202</v>
      </c>
      <c r="E44" s="18">
        <f t="shared" ca="1" si="7"/>
        <v>6692.7099999999991</v>
      </c>
      <c r="F44" s="46">
        <f t="shared" ca="1" si="8"/>
        <v>669.27</v>
      </c>
      <c r="G44" s="45">
        <f t="shared" ca="1" si="3"/>
        <v>1338.54</v>
      </c>
      <c r="H44" s="26">
        <f t="shared" ca="1" si="4"/>
        <v>669.27</v>
      </c>
      <c r="I44" s="26">
        <f t="shared" ca="1" si="5"/>
        <v>7361.98</v>
      </c>
      <c r="J44" s="6" t="str">
        <f t="shared" ca="1" si="6"/>
        <v>Ganó limit</v>
      </c>
    </row>
    <row r="45" spans="1:10" s="1" customFormat="1" ht="18" customHeight="1" x14ac:dyDescent="0.25">
      <c r="A45" s="27">
        <f t="shared" ca="1" si="0"/>
        <v>0.85220032920355715</v>
      </c>
      <c r="B45" s="24">
        <f t="shared" ca="1" si="9"/>
        <v>54</v>
      </c>
      <c r="C45" s="19">
        <v>43</v>
      </c>
      <c r="D45" s="25">
        <f t="shared" si="1"/>
        <v>46203</v>
      </c>
      <c r="E45" s="18">
        <f t="shared" ca="1" si="7"/>
        <v>7361.98</v>
      </c>
      <c r="F45" s="46">
        <f t="shared" ca="1" si="8"/>
        <v>736.2</v>
      </c>
      <c r="G45" s="45">
        <f t="shared" ca="1" si="3"/>
        <v>-736.2</v>
      </c>
      <c r="H45" s="26">
        <f t="shared" ca="1" si="4"/>
        <v>-736.2</v>
      </c>
      <c r="I45" s="26">
        <f t="shared" ca="1" si="5"/>
        <v>6625.78</v>
      </c>
      <c r="J45" s="6" t="str">
        <f t="shared" ca="1" si="6"/>
        <v>Perdió stop</v>
      </c>
    </row>
    <row r="46" spans="1:10" s="1" customFormat="1" ht="18" customHeight="1" x14ac:dyDescent="0.25">
      <c r="A46" s="27">
        <f t="shared" ca="1" si="0"/>
        <v>0.97148588604445918</v>
      </c>
      <c r="B46" s="24">
        <f t="shared" ca="1" si="9"/>
        <v>57</v>
      </c>
      <c r="C46" s="19">
        <v>44</v>
      </c>
      <c r="D46" s="25">
        <f t="shared" si="1"/>
        <v>46204</v>
      </c>
      <c r="E46" s="18">
        <f t="shared" ca="1" si="7"/>
        <v>6625.78</v>
      </c>
      <c r="F46" s="46">
        <f t="shared" ca="1" si="8"/>
        <v>662.58</v>
      </c>
      <c r="G46" s="45">
        <f t="shared" ca="1" si="3"/>
        <v>-662.58</v>
      </c>
      <c r="H46" s="26">
        <f t="shared" ca="1" si="4"/>
        <v>-662.58</v>
      </c>
      <c r="I46" s="26">
        <f t="shared" ca="1" si="5"/>
        <v>5963.2</v>
      </c>
      <c r="J46" s="6" t="str">
        <f t="shared" ca="1" si="6"/>
        <v>Perdió stop</v>
      </c>
    </row>
    <row r="47" spans="1:10" s="1" customFormat="1" ht="18" customHeight="1" x14ac:dyDescent="0.25">
      <c r="A47" s="27">
        <f t="shared" ca="1" si="0"/>
        <v>0.56722959379806448</v>
      </c>
      <c r="B47" s="24">
        <f t="shared" ca="1" si="9"/>
        <v>36</v>
      </c>
      <c r="C47" s="19">
        <v>45</v>
      </c>
      <c r="D47" s="25">
        <f t="shared" si="1"/>
        <v>46205</v>
      </c>
      <c r="E47" s="18">
        <f t="shared" ca="1" si="7"/>
        <v>5963.2</v>
      </c>
      <c r="F47" s="46">
        <f t="shared" ca="1" si="8"/>
        <v>596.32000000000005</v>
      </c>
      <c r="G47" s="45">
        <f t="shared" ca="1" si="3"/>
        <v>1192.6400000000001</v>
      </c>
      <c r="H47" s="26">
        <f t="shared" ca="1" si="4"/>
        <v>596.32000000000005</v>
      </c>
      <c r="I47" s="26">
        <f t="shared" ca="1" si="5"/>
        <v>6559.5199999999995</v>
      </c>
      <c r="J47" s="6" t="str">
        <f t="shared" ca="1" si="6"/>
        <v>Ganó limit</v>
      </c>
    </row>
    <row r="48" spans="1:10" s="1" customFormat="1" ht="18" customHeight="1" x14ac:dyDescent="0.25">
      <c r="A48" s="27">
        <f t="shared" ca="1" si="0"/>
        <v>0.33177722448429403</v>
      </c>
      <c r="B48" s="24">
        <f t="shared" ca="1" si="9"/>
        <v>24</v>
      </c>
      <c r="C48" s="19">
        <v>46</v>
      </c>
      <c r="D48" s="25">
        <f t="shared" si="1"/>
        <v>46206</v>
      </c>
      <c r="E48" s="18">
        <f t="shared" ca="1" si="7"/>
        <v>6559.5199999999995</v>
      </c>
      <c r="F48" s="46">
        <f t="shared" ca="1" si="8"/>
        <v>655.95</v>
      </c>
      <c r="G48" s="45">
        <f t="shared" ca="1" si="3"/>
        <v>1311.9</v>
      </c>
      <c r="H48" s="26">
        <f t="shared" ca="1" si="4"/>
        <v>655.95</v>
      </c>
      <c r="I48" s="26">
        <f t="shared" ca="1" si="5"/>
        <v>7215.4699999999993</v>
      </c>
      <c r="J48" s="6" t="str">
        <f t="shared" ca="1" si="6"/>
        <v>Ganó limit</v>
      </c>
    </row>
    <row r="49" spans="1:10" s="1" customFormat="1" ht="18" customHeight="1" x14ac:dyDescent="0.25">
      <c r="A49" s="27">
        <f t="shared" ca="1" si="0"/>
        <v>3.2310993357705597E-2</v>
      </c>
      <c r="B49" s="24">
        <f t="shared" ca="1" si="9"/>
        <v>3</v>
      </c>
      <c r="C49" s="19">
        <v>47</v>
      </c>
      <c r="D49" s="25">
        <f t="shared" si="1"/>
        <v>46209</v>
      </c>
      <c r="E49" s="18">
        <f t="shared" ca="1" si="7"/>
        <v>7215.4699999999993</v>
      </c>
      <c r="F49" s="46">
        <f t="shared" ca="1" si="8"/>
        <v>721.55</v>
      </c>
      <c r="G49" s="45">
        <f t="shared" ca="1" si="3"/>
        <v>1443.1</v>
      </c>
      <c r="H49" s="26">
        <f t="shared" ca="1" si="4"/>
        <v>721.55</v>
      </c>
      <c r="I49" s="26">
        <f t="shared" ca="1" si="5"/>
        <v>7937.0199999999995</v>
      </c>
      <c r="J49" s="6" t="str">
        <f t="shared" ca="1" si="6"/>
        <v>Ganó limit</v>
      </c>
    </row>
    <row r="50" spans="1:10" s="1" customFormat="1" ht="18" customHeight="1" x14ac:dyDescent="0.25">
      <c r="A50" s="27">
        <f t="shared" ca="1" si="0"/>
        <v>0.15380156964891978</v>
      </c>
      <c r="B50" s="24">
        <f t="shared" ca="1" si="9"/>
        <v>11</v>
      </c>
      <c r="C50" s="19">
        <v>48</v>
      </c>
      <c r="D50" s="25">
        <f t="shared" si="1"/>
        <v>46210</v>
      </c>
      <c r="E50" s="18">
        <f t="shared" ca="1" si="7"/>
        <v>7937.0199999999995</v>
      </c>
      <c r="F50" s="46">
        <f t="shared" ca="1" si="8"/>
        <v>793.7</v>
      </c>
      <c r="G50" s="45">
        <f t="shared" ca="1" si="3"/>
        <v>1587.4</v>
      </c>
      <c r="H50" s="26">
        <f t="shared" ca="1" si="4"/>
        <v>793.7</v>
      </c>
      <c r="I50" s="26">
        <f t="shared" ca="1" si="5"/>
        <v>8730.7199999999993</v>
      </c>
      <c r="J50" s="6" t="str">
        <f t="shared" ca="1" si="6"/>
        <v>Ganó limit</v>
      </c>
    </row>
    <row r="51" spans="1:10" s="1" customFormat="1" ht="18" customHeight="1" x14ac:dyDescent="0.25">
      <c r="A51" s="27">
        <f t="shared" ca="1" si="0"/>
        <v>0.69554581462682652</v>
      </c>
      <c r="B51" s="24">
        <f t="shared" ca="1" si="9"/>
        <v>45</v>
      </c>
      <c r="C51" s="19">
        <v>49</v>
      </c>
      <c r="D51" s="25">
        <f t="shared" si="1"/>
        <v>46211</v>
      </c>
      <c r="E51" s="18">
        <f t="shared" ca="1" si="7"/>
        <v>8730.7199999999993</v>
      </c>
      <c r="F51" s="46">
        <f t="shared" ca="1" si="8"/>
        <v>873.07</v>
      </c>
      <c r="G51" s="45">
        <f t="shared" ca="1" si="3"/>
        <v>-873.07</v>
      </c>
      <c r="H51" s="26">
        <f t="shared" ca="1" si="4"/>
        <v>-873.07</v>
      </c>
      <c r="I51" s="26">
        <f t="shared" ca="1" si="5"/>
        <v>7857.65</v>
      </c>
      <c r="J51" s="6" t="str">
        <f t="shared" ca="1" si="6"/>
        <v>Perdió stop</v>
      </c>
    </row>
    <row r="52" spans="1:10" s="1" customFormat="1" ht="18" customHeight="1" x14ac:dyDescent="0.25">
      <c r="A52" s="27">
        <f t="shared" ca="1" si="0"/>
        <v>0.83022021088441156</v>
      </c>
      <c r="B52" s="24">
        <f t="shared" ca="1" si="9"/>
        <v>53</v>
      </c>
      <c r="C52" s="19">
        <v>50</v>
      </c>
      <c r="D52" s="25">
        <f t="shared" si="1"/>
        <v>46212</v>
      </c>
      <c r="E52" s="18">
        <f t="shared" ca="1" si="7"/>
        <v>7857.65</v>
      </c>
      <c r="F52" s="46">
        <f t="shared" ca="1" si="8"/>
        <v>785.77</v>
      </c>
      <c r="G52" s="45">
        <f t="shared" ca="1" si="3"/>
        <v>-785.77</v>
      </c>
      <c r="H52" s="26">
        <f t="shared" ca="1" si="4"/>
        <v>-785.77</v>
      </c>
      <c r="I52" s="26">
        <f t="shared" ca="1" si="5"/>
        <v>7071.8799999999992</v>
      </c>
      <c r="J52" s="6" t="str">
        <f t="shared" ca="1" si="6"/>
        <v>Perdió stop</v>
      </c>
    </row>
    <row r="53" spans="1:10" s="1" customFormat="1" ht="18" customHeight="1" x14ac:dyDescent="0.25">
      <c r="A53" s="27">
        <f t="shared" ca="1" si="0"/>
        <v>0.66008096608648326</v>
      </c>
      <c r="B53" s="24">
        <f t="shared" ca="1" si="9"/>
        <v>42</v>
      </c>
      <c r="C53" s="19">
        <v>51</v>
      </c>
      <c r="D53" s="25">
        <f t="shared" si="1"/>
        <v>46213</v>
      </c>
      <c r="E53" s="18">
        <f t="shared" ca="1" si="7"/>
        <v>7071.8799999999992</v>
      </c>
      <c r="F53" s="46">
        <f t="shared" ca="1" si="8"/>
        <v>707.19</v>
      </c>
      <c r="G53" s="45">
        <f t="shared" ca="1" si="3"/>
        <v>1414.38</v>
      </c>
      <c r="H53" s="26">
        <f t="shared" ca="1" si="4"/>
        <v>707.19</v>
      </c>
      <c r="I53" s="26">
        <f t="shared" ca="1" si="5"/>
        <v>7779.07</v>
      </c>
      <c r="J53" s="6" t="str">
        <f t="shared" ca="1" si="6"/>
        <v>Ganó limit</v>
      </c>
    </row>
    <row r="54" spans="1:10" s="1" customFormat="1" ht="18" customHeight="1" x14ac:dyDescent="0.25">
      <c r="A54" s="27">
        <f t="shared" ca="1" si="0"/>
        <v>0.25485646695011555</v>
      </c>
      <c r="B54" s="24">
        <f t="shared" ca="1" si="9"/>
        <v>16</v>
      </c>
      <c r="C54" s="19">
        <v>52</v>
      </c>
      <c r="D54" s="25">
        <f t="shared" si="1"/>
        <v>46216</v>
      </c>
      <c r="E54" s="18">
        <f t="shared" ca="1" si="7"/>
        <v>7779.07</v>
      </c>
      <c r="F54" s="46">
        <f t="shared" ca="1" si="8"/>
        <v>777.91</v>
      </c>
      <c r="G54" s="45">
        <f t="shared" ca="1" si="3"/>
        <v>1555.82</v>
      </c>
      <c r="H54" s="26">
        <f t="shared" ca="1" si="4"/>
        <v>777.91</v>
      </c>
      <c r="I54" s="26">
        <f t="shared" ca="1" si="5"/>
        <v>8556.98</v>
      </c>
      <c r="J54" s="6" t="str">
        <f t="shared" ca="1" si="6"/>
        <v>Ganó limit</v>
      </c>
    </row>
    <row r="55" spans="1:10" s="1" customFormat="1" ht="18" customHeight="1" x14ac:dyDescent="0.25">
      <c r="A55" s="27">
        <f t="shared" ca="1" si="0"/>
        <v>0.91245020218293282</v>
      </c>
      <c r="B55" s="24">
        <f t="shared" ca="1" si="9"/>
        <v>55</v>
      </c>
      <c r="C55" s="19">
        <v>53</v>
      </c>
      <c r="D55" s="25">
        <f t="shared" si="1"/>
        <v>46217</v>
      </c>
      <c r="E55" s="18">
        <f t="shared" ca="1" si="7"/>
        <v>8556.98</v>
      </c>
      <c r="F55" s="46">
        <f t="shared" ca="1" si="8"/>
        <v>855.7</v>
      </c>
      <c r="G55" s="45">
        <f t="shared" ca="1" si="3"/>
        <v>-855.7</v>
      </c>
      <c r="H55" s="26">
        <f t="shared" ca="1" si="4"/>
        <v>-855.7</v>
      </c>
      <c r="I55" s="26">
        <f t="shared" ca="1" si="5"/>
        <v>7701.28</v>
      </c>
      <c r="J55" s="6" t="str">
        <f t="shared" ca="1" si="6"/>
        <v>Perdió stop</v>
      </c>
    </row>
    <row r="56" spans="1:10" s="1" customFormat="1" ht="18" customHeight="1" x14ac:dyDescent="0.25">
      <c r="A56" s="27">
        <f t="shared" ca="1" si="0"/>
        <v>0.53950310745501617</v>
      </c>
      <c r="B56" s="24">
        <f t="shared" ca="1" si="9"/>
        <v>32</v>
      </c>
      <c r="C56" s="19">
        <v>54</v>
      </c>
      <c r="D56" s="25">
        <f t="shared" si="1"/>
        <v>46218</v>
      </c>
      <c r="E56" s="18">
        <f t="shared" ca="1" si="7"/>
        <v>7701.28</v>
      </c>
      <c r="F56" s="46">
        <f t="shared" ca="1" si="8"/>
        <v>770.13</v>
      </c>
      <c r="G56" s="45">
        <f t="shared" ca="1" si="3"/>
        <v>1540.26</v>
      </c>
      <c r="H56" s="26">
        <f t="shared" ca="1" si="4"/>
        <v>770.13</v>
      </c>
      <c r="I56" s="26">
        <f t="shared" ca="1" si="5"/>
        <v>8471.41</v>
      </c>
      <c r="J56" s="6" t="str">
        <f t="shared" ca="1" si="6"/>
        <v>Ganó limit</v>
      </c>
    </row>
    <row r="57" spans="1:10" s="1" customFormat="1" ht="18" customHeight="1" x14ac:dyDescent="0.25">
      <c r="A57" s="27">
        <f t="shared" ca="1" si="0"/>
        <v>0.68848038768301956</v>
      </c>
      <c r="B57" s="24">
        <f t="shared" ca="1" si="9"/>
        <v>44</v>
      </c>
      <c r="C57" s="19">
        <v>55</v>
      </c>
      <c r="D57" s="25">
        <f t="shared" si="1"/>
        <v>46219</v>
      </c>
      <c r="E57" s="18">
        <f t="shared" ca="1" si="7"/>
        <v>8471.41</v>
      </c>
      <c r="F57" s="46">
        <f t="shared" ca="1" si="8"/>
        <v>847.14</v>
      </c>
      <c r="G57" s="45">
        <f t="shared" ca="1" si="3"/>
        <v>-847.14</v>
      </c>
      <c r="H57" s="26">
        <f t="shared" ca="1" si="4"/>
        <v>-847.14</v>
      </c>
      <c r="I57" s="26">
        <f t="shared" ca="1" si="5"/>
        <v>7624.2699999999995</v>
      </c>
      <c r="J57" s="6" t="str">
        <f t="shared" ca="1" si="6"/>
        <v>Perdió stop</v>
      </c>
    </row>
    <row r="58" spans="1:10" s="1" customFormat="1" ht="18" customHeight="1" x14ac:dyDescent="0.25">
      <c r="A58" s="27">
        <f t="shared" ca="1" si="0"/>
        <v>0.29089953216490094</v>
      </c>
      <c r="B58" s="24">
        <f t="shared" ca="1" si="9"/>
        <v>19</v>
      </c>
      <c r="C58" s="19">
        <v>56</v>
      </c>
      <c r="D58" s="25">
        <f t="shared" si="1"/>
        <v>46220</v>
      </c>
      <c r="E58" s="18">
        <f t="shared" ca="1" si="7"/>
        <v>7624.2699999999995</v>
      </c>
      <c r="F58" s="46">
        <f t="shared" ca="1" si="8"/>
        <v>762.43</v>
      </c>
      <c r="G58" s="45">
        <f t="shared" ca="1" si="3"/>
        <v>1524.86</v>
      </c>
      <c r="H58" s="26">
        <f t="shared" ca="1" si="4"/>
        <v>762.43</v>
      </c>
      <c r="I58" s="26">
        <f t="shared" ca="1" si="5"/>
        <v>8386.6999999999989</v>
      </c>
      <c r="J58" s="6" t="str">
        <f t="shared" ca="1" si="6"/>
        <v>Ganó limit</v>
      </c>
    </row>
    <row r="59" spans="1:10" s="1" customFormat="1" ht="18" customHeight="1" x14ac:dyDescent="0.25">
      <c r="A59" s="27">
        <f t="shared" ca="1" si="0"/>
        <v>0.36324158721395172</v>
      </c>
      <c r="B59" s="24">
        <f t="shared" ca="1" si="9"/>
        <v>25</v>
      </c>
      <c r="C59" s="19">
        <v>57</v>
      </c>
      <c r="D59" s="25">
        <f t="shared" si="1"/>
        <v>46223</v>
      </c>
      <c r="E59" s="18">
        <f t="shared" ca="1" si="7"/>
        <v>8386.6999999999989</v>
      </c>
      <c r="F59" s="46">
        <f t="shared" ca="1" si="8"/>
        <v>838.67</v>
      </c>
      <c r="G59" s="45">
        <f t="shared" ca="1" si="3"/>
        <v>1677.34</v>
      </c>
      <c r="H59" s="26">
        <f t="shared" ca="1" si="4"/>
        <v>838.67</v>
      </c>
      <c r="I59" s="26">
        <f t="shared" ca="1" si="5"/>
        <v>9225.369999999999</v>
      </c>
      <c r="J59" s="6" t="str">
        <f t="shared" ca="1" si="6"/>
        <v>Ganó limit</v>
      </c>
    </row>
    <row r="60" spans="1:10" ht="18" customHeight="1" x14ac:dyDescent="0.25">
      <c r="A60" s="28">
        <f ca="1">RAND()</f>
        <v>0.22415975703933388</v>
      </c>
      <c r="B60" s="29">
        <f t="shared" ca="1" si="9"/>
        <v>14</v>
      </c>
      <c r="C60" s="30">
        <v>58</v>
      </c>
      <c r="D60" s="31">
        <f>WORKDAY($L$2,C60-1)</f>
        <v>46224</v>
      </c>
      <c r="E60" s="18">
        <f t="shared" ca="1" si="7"/>
        <v>9225.369999999999</v>
      </c>
      <c r="F60" s="46">
        <f t="shared" ca="1" si="8"/>
        <v>922.54</v>
      </c>
      <c r="G60" s="45">
        <f t="shared" ca="1" si="3"/>
        <v>1845.08</v>
      </c>
      <c r="H60" s="26">
        <f t="shared" ca="1" si="4"/>
        <v>922.54</v>
      </c>
      <c r="I60" s="26">
        <f t="shared" ca="1" si="5"/>
        <v>10147.91</v>
      </c>
      <c r="J60" s="6" t="str">
        <f t="shared" ca="1" si="6"/>
        <v>Ganó limit</v>
      </c>
    </row>
    <row r="61" spans="1:10" x14ac:dyDescent="0.35">
      <c r="E61"/>
      <c r="F61"/>
      <c r="G61"/>
      <c r="H61" s="3"/>
      <c r="I61"/>
      <c r="J61"/>
    </row>
  </sheetData>
  <mergeCells count="3">
    <mergeCell ref="A1:I1"/>
    <mergeCell ref="K1:P1"/>
    <mergeCell ref="K12:L12"/>
  </mergeCells>
  <conditionalFormatting sqref="C1 D1:D1048576">
    <cfRule type="cellIs" dxfId="30" priority="7" operator="equal">
      <formula>TODAY()</formula>
    </cfRule>
  </conditionalFormatting>
  <conditionalFormatting sqref="E3:E60">
    <cfRule type="expression" dxfId="29" priority="6">
      <formula>E3&lt;E2</formula>
    </cfRule>
  </conditionalFormatting>
  <conditionalFormatting sqref="G3:G60">
    <cfRule type="containsText" dxfId="28" priority="12" operator="containsText" text="WIN"/>
    <cfRule type="containsText" dxfId="27" priority="13" operator="containsText" text="LOSS"/>
  </conditionalFormatting>
  <conditionalFormatting sqref="H62:H1048576 H3:H60">
    <cfRule type="cellIs" dxfId="26" priority="8" operator="lessThan">
      <formula>0</formula>
    </cfRule>
    <cfRule type="cellIs" dxfId="25" priority="9" operator="greaterThan">
      <formula>0</formula>
    </cfRule>
  </conditionalFormatting>
  <conditionalFormatting sqref="H3:H60">
    <cfRule type="cellIs" dxfId="24" priority="14" operator="lessThan">
      <formula>0</formula>
    </cfRule>
    <cfRule type="cellIs" dxfId="23" priority="15" operator="greaterThan">
      <formula>0</formula>
    </cfRule>
  </conditionalFormatting>
  <conditionalFormatting sqref="I3:I60">
    <cfRule type="dataBar" priority="16">
      <dataBar>
        <cfvo type="min"/>
        <cfvo type="max"/>
        <color rgb="FF60A5FA"/>
      </dataBar>
    </cfRule>
    <cfRule type="dataBar" priority="17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{2483B68E-0250-8667-2D8C-9806AD33462C}</x14:id>
        </ext>
      </extLst>
    </cfRule>
  </conditionalFormatting>
  <conditionalFormatting sqref="K4 K7">
    <cfRule type="cellIs" dxfId="22" priority="10" operator="lessThan">
      <formula>$K$3</formula>
    </cfRule>
    <cfRule type="cellIs" dxfId="21" priority="11" operator="greaterThan">
      <formula>$K$3</formula>
    </cfRule>
  </conditionalFormatting>
  <conditionalFormatting sqref="K5">
    <cfRule type="cellIs" dxfId="20" priority="2" operator="lessThan">
      <formula>0</formula>
    </cfRule>
    <cfRule type="cellIs" dxfId="19" priority="3" operator="greaterThan">
      <formula>0</formula>
    </cfRule>
  </conditionalFormatting>
  <conditionalFormatting sqref="O8">
    <cfRule type="cellIs" dxfId="18" priority="4" operator="lessThan">
      <formula>$M$7</formula>
    </cfRule>
  </conditionalFormatting>
  <conditionalFormatting sqref="O9">
    <cfRule type="cellIs" dxfId="17" priority="5" operator="greaterThan">
      <formula>0+$M$7</formula>
    </cfRule>
  </conditionalFormatting>
  <conditionalFormatting sqref="H61">
    <cfRule type="cellIs" dxfId="16" priority="1" operator="equal">
      <formula>TODAY()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83B68E-0250-8667-2D8C-9806AD33462C}">
            <x14:dataBar>
              <x14:cfvo type="min"/>
              <x14:cfvo type="max"/>
              <x14:negativeFillColor auto="1"/>
              <x14:axisColor auto="1"/>
            </x14:dataBar>
          </x14:cfRule>
          <xm:sqref>I3:I60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7EB84-2525-4227-AFEB-C4AC8EA3D6CE}">
  <dimension ref="A1:P61"/>
  <sheetViews>
    <sheetView showGridLines="0" tabSelected="1" workbookViewId="0">
      <selection activeCell="L6" sqref="L6"/>
    </sheetView>
  </sheetViews>
  <sheetFormatPr baseColWidth="10" defaultColWidth="9.140625" defaultRowHeight="21" x14ac:dyDescent="0.35"/>
  <cols>
    <col min="1" max="2" width="8" customWidth="1"/>
    <col min="3" max="3" width="9" customWidth="1"/>
    <col min="4" max="4" width="13" style="3" customWidth="1"/>
    <col min="5" max="5" width="14" style="3" customWidth="1"/>
    <col min="6" max="6" width="14" style="4" customWidth="1"/>
    <col min="7" max="7" width="12" style="5" customWidth="1"/>
    <col min="8" max="8" width="16" style="5" customWidth="1"/>
    <col min="9" max="9" width="14" style="5" customWidth="1"/>
    <col min="10" max="10" width="16" style="2" customWidth="1"/>
    <col min="11" max="11" width="23.5703125" bestFit="1" customWidth="1"/>
    <col min="12" max="12" width="15.28515625" customWidth="1"/>
    <col min="13" max="13" width="5.5703125" bestFit="1" customWidth="1"/>
    <col min="14" max="14" width="3" customWidth="1"/>
    <col min="15" max="15" width="38" customWidth="1"/>
    <col min="16" max="16" width="12" customWidth="1"/>
    <col min="17" max="17" width="17" customWidth="1"/>
  </cols>
  <sheetData>
    <row r="1" spans="1:16" ht="20.100000000000001" customHeight="1" x14ac:dyDescent="0.3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23"/>
      <c r="K1" s="36" t="s">
        <v>1</v>
      </c>
      <c r="L1" s="37"/>
      <c r="M1" s="37"/>
      <c r="N1" s="49"/>
      <c r="O1" s="38"/>
      <c r="P1" s="39"/>
    </row>
    <row r="2" spans="1:16" s="1" customFormat="1" ht="20.100000000000001" customHeight="1" x14ac:dyDescent="0.25">
      <c r="A2" s="32" t="s">
        <v>2</v>
      </c>
      <c r="B2" s="33" t="s">
        <v>3</v>
      </c>
      <c r="C2" s="33" t="s">
        <v>4</v>
      </c>
      <c r="D2" s="33" t="s">
        <v>5</v>
      </c>
      <c r="E2" s="33" t="s">
        <v>6</v>
      </c>
      <c r="F2" s="33" t="s">
        <v>35</v>
      </c>
      <c r="G2" s="33" t="s">
        <v>7</v>
      </c>
      <c r="H2" s="33" t="s">
        <v>34</v>
      </c>
      <c r="I2" s="33" t="s">
        <v>8</v>
      </c>
      <c r="J2" s="34" t="s">
        <v>9</v>
      </c>
      <c r="K2" s="10" t="s">
        <v>10</v>
      </c>
      <c r="L2" s="14">
        <v>46143</v>
      </c>
      <c r="M2"/>
      <c r="N2"/>
      <c r="O2" s="12" t="s">
        <v>11</v>
      </c>
      <c r="P2" s="6"/>
    </row>
    <row r="3" spans="1:16" s="1" customFormat="1" ht="20.100000000000001" customHeight="1" x14ac:dyDescent="0.25">
      <c r="A3" s="27">
        <f t="shared" ref="A3:A59" ca="1" si="0">RAND()</f>
        <v>2.1648818077105836E-2</v>
      </c>
      <c r="B3" s="24">
        <f ca="1">RANK(A3,$A$3:$A$60,1)</f>
        <v>3</v>
      </c>
      <c r="C3" s="19">
        <v>1</v>
      </c>
      <c r="D3" s="25">
        <f t="shared" ref="D3:D59" si="1">WORKDAY($L$2,C3-1)</f>
        <v>46143</v>
      </c>
      <c r="E3" s="18">
        <f>IF(C3=1,$L$4,I2)</f>
        <v>5000</v>
      </c>
      <c r="F3" s="46">
        <f>ROUND(E3*$L$5,2)</f>
        <v>2500</v>
      </c>
      <c r="G3" s="45">
        <f t="shared" ref="G3:G11" ca="1" si="2">IF(IF(B3&lt;=ROUND($L$10*$L$6,0),"WIN","LOSS")="LOSS",(F3*(1-$L$8)),(F3*(1+$L$9)))</f>
        <v>2800.0000000000005</v>
      </c>
      <c r="H3" s="26">
        <f ca="1">G3-F3</f>
        <v>300.00000000000045</v>
      </c>
      <c r="I3" s="26">
        <f ca="1">E3+H3</f>
        <v>5300</v>
      </c>
      <c r="J3" s="6" t="str">
        <f t="shared" ref="J3:J12" ca="1" si="3">IF(G3&gt;F3,"Ganó limit","Perdió stop")</f>
        <v>Ganó limit</v>
      </c>
      <c r="K3" s="10" t="s">
        <v>12</v>
      </c>
      <c r="L3" s="42">
        <v>46174</v>
      </c>
      <c r="M3"/>
      <c r="N3"/>
      <c r="O3" s="12" t="s">
        <v>13</v>
      </c>
      <c r="P3" s="6"/>
    </row>
    <row r="4" spans="1:16" s="1" customFormat="1" ht="20.100000000000001" customHeight="1" x14ac:dyDescent="0.25">
      <c r="A4" s="27">
        <f t="shared" ca="1" si="0"/>
        <v>0.44476807285035669</v>
      </c>
      <c r="B4" s="24">
        <f t="shared" ref="B4:B60" ca="1" si="4">RANK(A4,$A$3:$A$60,1)</f>
        <v>33</v>
      </c>
      <c r="C4" s="19">
        <v>2</v>
      </c>
      <c r="D4" s="25">
        <f>WORKDAY($L$2,C4-1)</f>
        <v>46146</v>
      </c>
      <c r="E4" s="18">
        <f ca="1">IF(C4=1,$L$4,I3)</f>
        <v>5300</v>
      </c>
      <c r="F4" s="46">
        <f ca="1">ROUND(E4*$L$5,2)</f>
        <v>2650</v>
      </c>
      <c r="G4" s="45">
        <f t="shared" ca="1" si="2"/>
        <v>2968.0000000000005</v>
      </c>
      <c r="H4" s="26">
        <f t="shared" ref="H4:H60" ca="1" si="5">G4-F4</f>
        <v>318.00000000000045</v>
      </c>
      <c r="I4" s="26">
        <f t="shared" ref="I4:I60" ca="1" si="6">E4+H4</f>
        <v>5618</v>
      </c>
      <c r="J4" s="6" t="str">
        <f t="shared" ca="1" si="3"/>
        <v>Ganó limit</v>
      </c>
      <c r="K4" s="10" t="s">
        <v>14</v>
      </c>
      <c r="L4" s="15">
        <v>5000</v>
      </c>
      <c r="M4"/>
      <c r="N4"/>
      <c r="O4" s="12" t="s">
        <v>15</v>
      </c>
      <c r="P4" s="6"/>
    </row>
    <row r="5" spans="1:16" s="1" customFormat="1" ht="20.100000000000001" customHeight="1" x14ac:dyDescent="0.25">
      <c r="A5" s="27">
        <f t="shared" ca="1" si="0"/>
        <v>0.33248353690093957</v>
      </c>
      <c r="B5" s="24">
        <f t="shared" ca="1" si="4"/>
        <v>28</v>
      </c>
      <c r="C5" s="19">
        <v>3</v>
      </c>
      <c r="D5" s="25">
        <f>WORKDAY($L$2,C5-1)</f>
        <v>46147</v>
      </c>
      <c r="E5" s="18">
        <f t="shared" ref="E5:E60" ca="1" si="7">IF(C5=1,$L$4,I4)</f>
        <v>5618</v>
      </c>
      <c r="F5" s="46">
        <f t="shared" ref="F5:F60" ca="1" si="8">ROUND(E5*$L$5,2)</f>
        <v>2809</v>
      </c>
      <c r="G5" s="45">
        <f t="shared" ca="1" si="2"/>
        <v>3146.0800000000004</v>
      </c>
      <c r="H5" s="26">
        <f t="shared" ca="1" si="5"/>
        <v>337.08000000000038</v>
      </c>
      <c r="I5" s="26">
        <f t="shared" ca="1" si="6"/>
        <v>5955.08</v>
      </c>
      <c r="J5" s="6" t="str">
        <f t="shared" ca="1" si="3"/>
        <v>Ganó limit</v>
      </c>
      <c r="K5" s="10" t="s">
        <v>16</v>
      </c>
      <c r="L5" s="16">
        <v>0.5</v>
      </c>
      <c r="M5"/>
      <c r="N5"/>
      <c r="O5" s="12" t="s">
        <v>17</v>
      </c>
      <c r="P5" s="6"/>
    </row>
    <row r="6" spans="1:16" s="1" customFormat="1" ht="20.100000000000001" customHeight="1" x14ac:dyDescent="0.25">
      <c r="A6" s="27">
        <f t="shared" ca="1" si="0"/>
        <v>0.80956034951022671</v>
      </c>
      <c r="B6" s="24">
        <f t="shared" ca="1" si="4"/>
        <v>48</v>
      </c>
      <c r="C6" s="19">
        <v>4</v>
      </c>
      <c r="D6" s="25">
        <f t="shared" si="1"/>
        <v>46148</v>
      </c>
      <c r="E6" s="18">
        <f t="shared" ca="1" si="7"/>
        <v>5955.08</v>
      </c>
      <c r="F6" s="46">
        <f t="shared" ca="1" si="8"/>
        <v>2977.54</v>
      </c>
      <c r="G6" s="45">
        <f t="shared" ca="1" si="2"/>
        <v>3334.8448000000003</v>
      </c>
      <c r="H6" s="26">
        <f t="shared" ca="1" si="5"/>
        <v>357.30480000000034</v>
      </c>
      <c r="I6" s="26">
        <f t="shared" ca="1" si="6"/>
        <v>6312.3847999999998</v>
      </c>
      <c r="J6" s="6" t="str">
        <f t="shared" ca="1" si="3"/>
        <v>Ganó limit</v>
      </c>
      <c r="K6" s="10" t="s">
        <v>18</v>
      </c>
      <c r="L6" s="16">
        <v>1</v>
      </c>
      <c r="M6"/>
      <c r="N6"/>
      <c r="O6" s="12" t="s">
        <v>19</v>
      </c>
      <c r="P6" s="6"/>
    </row>
    <row r="7" spans="1:16" s="1" customFormat="1" ht="20.100000000000001" customHeight="1" x14ac:dyDescent="0.25">
      <c r="A7" s="27">
        <f t="shared" ca="1" si="0"/>
        <v>0.9924882443005788</v>
      </c>
      <c r="B7" s="24">
        <f t="shared" ca="1" si="4"/>
        <v>57</v>
      </c>
      <c r="C7" s="19">
        <v>5</v>
      </c>
      <c r="D7" s="25">
        <f t="shared" si="1"/>
        <v>46149</v>
      </c>
      <c r="E7" s="18">
        <f t="shared" ca="1" si="7"/>
        <v>6312.3847999999998</v>
      </c>
      <c r="F7" s="46">
        <f t="shared" ca="1" si="8"/>
        <v>3156.19</v>
      </c>
      <c r="G7" s="45">
        <f t="shared" ca="1" si="2"/>
        <v>3534.9328000000005</v>
      </c>
      <c r="H7" s="26">
        <f t="shared" ca="1" si="5"/>
        <v>378.74280000000044</v>
      </c>
      <c r="I7" s="26">
        <f t="shared" ca="1" si="6"/>
        <v>6691.1275999999998</v>
      </c>
      <c r="J7" s="6" t="str">
        <f t="shared" ca="1" si="3"/>
        <v>Ganó limit</v>
      </c>
      <c r="K7" s="10" t="s">
        <v>20</v>
      </c>
      <c r="L7" s="17">
        <v>1</v>
      </c>
      <c r="M7"/>
      <c r="N7"/>
      <c r="O7" s="12" t="s">
        <v>21</v>
      </c>
      <c r="P7" s="6"/>
    </row>
    <row r="8" spans="1:16" s="1" customFormat="1" ht="20.100000000000001" customHeight="1" x14ac:dyDescent="0.25">
      <c r="A8" s="27">
        <f t="shared" ca="1" si="0"/>
        <v>0.83169662092154995</v>
      </c>
      <c r="B8" s="24">
        <f t="shared" ca="1" si="4"/>
        <v>53</v>
      </c>
      <c r="C8" s="19">
        <v>6</v>
      </c>
      <c r="D8" s="25">
        <f t="shared" si="1"/>
        <v>46150</v>
      </c>
      <c r="E8" s="18">
        <f t="shared" ca="1" si="7"/>
        <v>6691.1275999999998</v>
      </c>
      <c r="F8" s="46">
        <f t="shared" ca="1" si="8"/>
        <v>3345.56</v>
      </c>
      <c r="G8" s="45">
        <f t="shared" ca="1" si="2"/>
        <v>3747.0272000000004</v>
      </c>
      <c r="H8" s="26">
        <f t="shared" ca="1" si="5"/>
        <v>401.4672000000005</v>
      </c>
      <c r="I8" s="26">
        <f t="shared" ca="1" si="6"/>
        <v>7092.5948000000008</v>
      </c>
      <c r="J8" s="6" t="str">
        <f t="shared" ca="1" si="3"/>
        <v>Ganó limit</v>
      </c>
      <c r="K8" s="10" t="s">
        <v>22</v>
      </c>
      <c r="L8" s="16">
        <v>0.3</v>
      </c>
      <c r="M8" s="47">
        <f>L7*1-L8</f>
        <v>0.7</v>
      </c>
      <c r="N8"/>
      <c r="O8" s="12" t="s">
        <v>23</v>
      </c>
      <c r="P8" s="6"/>
    </row>
    <row r="9" spans="1:16" s="1" customFormat="1" ht="20.100000000000001" customHeight="1" x14ac:dyDescent="0.25">
      <c r="A9" s="27">
        <f t="shared" ca="1" si="0"/>
        <v>0.16082209561885685</v>
      </c>
      <c r="B9" s="24">
        <f t="shared" ca="1" si="4"/>
        <v>8</v>
      </c>
      <c r="C9" s="19">
        <v>7</v>
      </c>
      <c r="D9" s="25">
        <f t="shared" si="1"/>
        <v>46153</v>
      </c>
      <c r="E9" s="18">
        <f t="shared" ca="1" si="7"/>
        <v>7092.5948000000008</v>
      </c>
      <c r="F9" s="46">
        <f t="shared" ca="1" si="8"/>
        <v>3546.3</v>
      </c>
      <c r="G9" s="45">
        <f t="shared" ca="1" si="2"/>
        <v>3971.8560000000007</v>
      </c>
      <c r="H9" s="26">
        <f ca="1">G9-F9</f>
        <v>425.55600000000049</v>
      </c>
      <c r="I9" s="26">
        <f t="shared" ca="1" si="6"/>
        <v>7518.1508000000013</v>
      </c>
      <c r="J9" s="6" t="str">
        <f t="shared" ca="1" si="3"/>
        <v>Ganó limit</v>
      </c>
      <c r="K9" s="10" t="s">
        <v>24</v>
      </c>
      <c r="L9" s="16">
        <v>0.12</v>
      </c>
      <c r="M9" s="48">
        <f>L7*1+L9</f>
        <v>1.1200000000000001</v>
      </c>
      <c r="N9"/>
      <c r="O9" s="12" t="s">
        <v>25</v>
      </c>
      <c r="P9" s="6"/>
    </row>
    <row r="10" spans="1:16" s="1" customFormat="1" ht="20.100000000000001" customHeight="1" x14ac:dyDescent="0.25">
      <c r="A10" s="27">
        <f t="shared" ca="1" si="0"/>
        <v>0.27335568676958988</v>
      </c>
      <c r="B10" s="24">
        <f t="shared" ca="1" si="4"/>
        <v>22</v>
      </c>
      <c r="C10" s="19">
        <v>8</v>
      </c>
      <c r="D10" s="25">
        <f t="shared" si="1"/>
        <v>46154</v>
      </c>
      <c r="E10" s="18">
        <f t="shared" ca="1" si="7"/>
        <v>7518.1508000000013</v>
      </c>
      <c r="F10" s="46">
        <f t="shared" ca="1" si="8"/>
        <v>3759.08</v>
      </c>
      <c r="G10" s="45">
        <f t="shared" ca="1" si="2"/>
        <v>4210.1696000000002</v>
      </c>
      <c r="H10" s="26">
        <f t="shared" ca="1" si="5"/>
        <v>451.08960000000025</v>
      </c>
      <c r="I10" s="26">
        <f t="shared" ca="1" si="6"/>
        <v>7969.2404000000015</v>
      </c>
      <c r="J10" s="6" t="str">
        <f t="shared" ca="1" si="3"/>
        <v>Ganó limit</v>
      </c>
      <c r="K10" s="43" t="s">
        <v>26</v>
      </c>
      <c r="L10" s="44">
        <v>60</v>
      </c>
      <c r="M10" s="7"/>
      <c r="N10" s="9"/>
      <c r="O10" s="13" t="s">
        <v>27</v>
      </c>
      <c r="P10" s="8"/>
    </row>
    <row r="11" spans="1:16" s="1" customFormat="1" ht="20.100000000000001" customHeight="1" x14ac:dyDescent="0.25">
      <c r="A11" s="27">
        <f t="shared" ca="1" si="0"/>
        <v>0.21013696384208491</v>
      </c>
      <c r="B11" s="24">
        <f t="shared" ca="1" si="4"/>
        <v>17</v>
      </c>
      <c r="C11" s="19">
        <v>9</v>
      </c>
      <c r="D11" s="25">
        <f t="shared" si="1"/>
        <v>46155</v>
      </c>
      <c r="E11" s="18">
        <f t="shared" ca="1" si="7"/>
        <v>7969.2404000000015</v>
      </c>
      <c r="F11" s="46">
        <f t="shared" ca="1" si="8"/>
        <v>3984.62</v>
      </c>
      <c r="G11" s="45">
        <f t="shared" ca="1" si="2"/>
        <v>4462.7744000000002</v>
      </c>
      <c r="H11" s="26">
        <f t="shared" ca="1" si="5"/>
        <v>478.15440000000035</v>
      </c>
      <c r="I11" s="26">
        <f t="shared" ca="1" si="6"/>
        <v>8447.3948000000019</v>
      </c>
      <c r="J11" s="6" t="str">
        <f t="shared" ca="1" si="3"/>
        <v>Ganó limit</v>
      </c>
    </row>
    <row r="12" spans="1:16" s="1" customFormat="1" ht="20.100000000000001" customHeight="1" x14ac:dyDescent="0.3">
      <c r="A12" s="27">
        <f t="shared" ca="1" si="0"/>
        <v>4.7362425901931182E-2</v>
      </c>
      <c r="B12" s="24">
        <f t="shared" ca="1" si="4"/>
        <v>5</v>
      </c>
      <c r="C12" s="19">
        <v>10</v>
      </c>
      <c r="D12" s="25">
        <f t="shared" si="1"/>
        <v>46156</v>
      </c>
      <c r="E12" s="18">
        <f t="shared" ca="1" si="7"/>
        <v>8447.3948000000019</v>
      </c>
      <c r="F12" s="46">
        <f t="shared" ca="1" si="8"/>
        <v>4223.7</v>
      </c>
      <c r="G12" s="45">
        <f t="shared" ref="G12:G60" ca="1" si="9">IF(IF(B12&lt;=ROUND($L$10*$L$6,0),"WIN","LOSS")="LOSS",(F12*(1-$L$8)),(F12*(1+$L$9)))</f>
        <v>4730.5439999999999</v>
      </c>
      <c r="H12" s="26">
        <f t="shared" ca="1" si="5"/>
        <v>506.84400000000005</v>
      </c>
      <c r="I12" s="26">
        <f t="shared" ca="1" si="6"/>
        <v>8954.2388000000028</v>
      </c>
      <c r="J12" s="6" t="str">
        <f t="shared" ca="1" si="3"/>
        <v>Ganó limit</v>
      </c>
      <c r="K12" s="40" t="s">
        <v>28</v>
      </c>
      <c r="L12" s="41"/>
    </row>
    <row r="13" spans="1:16" s="1" customFormat="1" ht="20.100000000000001" customHeight="1" x14ac:dyDescent="0.25">
      <c r="A13" s="27">
        <f t="shared" ca="1" si="0"/>
        <v>0.25188710410508541</v>
      </c>
      <c r="B13" s="24">
        <f t="shared" ca="1" si="4"/>
        <v>21</v>
      </c>
      <c r="C13" s="19">
        <v>11</v>
      </c>
      <c r="D13" s="25">
        <f t="shared" si="1"/>
        <v>46157</v>
      </c>
      <c r="E13" s="18">
        <f t="shared" ca="1" si="7"/>
        <v>8954.2388000000028</v>
      </c>
      <c r="F13" s="46">
        <f t="shared" ca="1" si="8"/>
        <v>4477.12</v>
      </c>
      <c r="G13" s="45">
        <f t="shared" ca="1" si="9"/>
        <v>5014.3744000000006</v>
      </c>
      <c r="H13" s="26">
        <f t="shared" ca="1" si="5"/>
        <v>537.25440000000071</v>
      </c>
      <c r="I13" s="26">
        <f t="shared" ca="1" si="6"/>
        <v>9491.4932000000044</v>
      </c>
      <c r="J13" s="6" t="str">
        <f ca="1">IF(G13&gt;F13,"Ganó limit","Perdió stop")</f>
        <v>Ganó limit</v>
      </c>
      <c r="K13" s="10" t="s">
        <v>29</v>
      </c>
      <c r="L13" s="20">
        <f ca="1">IFERROR(INDEX($I$3:$I$60,MATCH($L$3,$D$3:$D$60,1)),$L$4)</f>
        <v>18017.688800000014</v>
      </c>
    </row>
    <row r="14" spans="1:16" s="1" customFormat="1" ht="20.100000000000001" customHeight="1" x14ac:dyDescent="0.25">
      <c r="A14" s="27">
        <f t="shared" ca="1" si="0"/>
        <v>0.81360936415775487</v>
      </c>
      <c r="B14" s="24">
        <f t="shared" ca="1" si="4"/>
        <v>50</v>
      </c>
      <c r="C14" s="19">
        <v>12</v>
      </c>
      <c r="D14" s="25">
        <f t="shared" si="1"/>
        <v>46160</v>
      </c>
      <c r="E14" s="18">
        <f t="shared" ca="1" si="7"/>
        <v>9491.4932000000044</v>
      </c>
      <c r="F14" s="46">
        <f t="shared" ca="1" si="8"/>
        <v>4745.75</v>
      </c>
      <c r="G14" s="45">
        <f t="shared" ca="1" si="9"/>
        <v>5315.2400000000007</v>
      </c>
      <c r="H14" s="26">
        <f t="shared" ca="1" si="5"/>
        <v>569.49000000000069</v>
      </c>
      <c r="I14" s="26">
        <f t="shared" ca="1" si="6"/>
        <v>10060.983200000006</v>
      </c>
      <c r="J14" s="6" t="str">
        <f t="shared" ref="J14:J60" ca="1" si="10">IF(G14&gt;F14,"Ganó limit","Perdió stop")</f>
        <v>Ganó limit</v>
      </c>
      <c r="K14" s="10" t="s">
        <v>30</v>
      </c>
      <c r="L14" s="20">
        <f ca="1">L13-$L$4</f>
        <v>13017.688800000014</v>
      </c>
    </row>
    <row r="15" spans="1:16" s="1" customFormat="1" ht="20.100000000000001" customHeight="1" x14ac:dyDescent="0.25">
      <c r="A15" s="27">
        <f t="shared" ca="1" si="0"/>
        <v>0.32160664456485921</v>
      </c>
      <c r="B15" s="24">
        <f t="shared" ca="1" si="4"/>
        <v>27</v>
      </c>
      <c r="C15" s="19">
        <v>13</v>
      </c>
      <c r="D15" s="25">
        <f t="shared" si="1"/>
        <v>46161</v>
      </c>
      <c r="E15" s="18">
        <f t="shared" ca="1" si="7"/>
        <v>10060.983200000006</v>
      </c>
      <c r="F15" s="46">
        <f t="shared" ca="1" si="8"/>
        <v>5030.49</v>
      </c>
      <c r="G15" s="45">
        <f t="shared" ca="1" si="9"/>
        <v>5634.1487999999999</v>
      </c>
      <c r="H15" s="26">
        <f t="shared" ca="1" si="5"/>
        <v>603.65880000000016</v>
      </c>
      <c r="I15" s="26">
        <f t="shared" ca="1" si="6"/>
        <v>10664.642000000007</v>
      </c>
      <c r="J15" s="6" t="str">
        <f t="shared" ca="1" si="10"/>
        <v>Ganó limit</v>
      </c>
      <c r="K15" s="10" t="s">
        <v>31</v>
      </c>
      <c r="L15" s="20">
        <f ca="1">LOOKUP(2,1/($I$3:$I$60&lt;&gt;""),$I$3:$I$60)</f>
        <v>146794.65560000017</v>
      </c>
    </row>
    <row r="16" spans="1:16" s="1" customFormat="1" ht="20.100000000000001" customHeight="1" x14ac:dyDescent="0.25">
      <c r="A16" s="27">
        <f t="shared" ca="1" si="0"/>
        <v>0.19761229248210288</v>
      </c>
      <c r="B16" s="24">
        <f t="shared" ca="1" si="4"/>
        <v>15</v>
      </c>
      <c r="C16" s="19">
        <v>14</v>
      </c>
      <c r="D16" s="25">
        <f t="shared" si="1"/>
        <v>46162</v>
      </c>
      <c r="E16" s="18">
        <f t="shared" ca="1" si="7"/>
        <v>10664.642000000007</v>
      </c>
      <c r="F16" s="46">
        <f t="shared" ca="1" si="8"/>
        <v>5332.32</v>
      </c>
      <c r="G16" s="45">
        <f t="shared" ca="1" si="9"/>
        <v>5972.1984000000002</v>
      </c>
      <c r="H16" s="26">
        <f t="shared" ca="1" si="5"/>
        <v>639.87840000000051</v>
      </c>
      <c r="I16" s="26">
        <f t="shared" ca="1" si="6"/>
        <v>11304.520400000009</v>
      </c>
      <c r="J16" s="6" t="str">
        <f t="shared" ca="1" si="10"/>
        <v>Ganó limit</v>
      </c>
      <c r="K16" s="10" t="s">
        <v>32</v>
      </c>
      <c r="L16" s="21">
        <f>ROUND($L$10*$L$6,0)</f>
        <v>60</v>
      </c>
    </row>
    <row r="17" spans="1:12" s="1" customFormat="1" ht="20.100000000000001" customHeight="1" x14ac:dyDescent="0.25">
      <c r="A17" s="27">
        <f t="shared" ca="1" si="0"/>
        <v>0.24240061902356391</v>
      </c>
      <c r="B17" s="24">
        <f t="shared" ca="1" si="4"/>
        <v>20</v>
      </c>
      <c r="C17" s="19">
        <v>15</v>
      </c>
      <c r="D17" s="25">
        <f t="shared" si="1"/>
        <v>46163</v>
      </c>
      <c r="E17" s="18">
        <f t="shared" ca="1" si="7"/>
        <v>11304.520400000009</v>
      </c>
      <c r="F17" s="46">
        <f ca="1">ROUND(E17*$L$5,2)</f>
        <v>5652.26</v>
      </c>
      <c r="G17" s="45">
        <f t="shared" ca="1" si="9"/>
        <v>6330.5312000000013</v>
      </c>
      <c r="H17" s="26">
        <f ca="1">G17-F17</f>
        <v>678.27120000000104</v>
      </c>
      <c r="I17" s="26">
        <f t="shared" ca="1" si="6"/>
        <v>11982.79160000001</v>
      </c>
      <c r="J17" s="6" t="str">
        <f t="shared" ca="1" si="10"/>
        <v>Ganó limit</v>
      </c>
      <c r="K17" s="11" t="s">
        <v>33</v>
      </c>
      <c r="L17" s="22">
        <f>$L$10-L16</f>
        <v>0</v>
      </c>
    </row>
    <row r="18" spans="1:12" s="1" customFormat="1" ht="18" customHeight="1" x14ac:dyDescent="0.25">
      <c r="A18" s="27">
        <f t="shared" ca="1" si="0"/>
        <v>0.38044045627783674</v>
      </c>
      <c r="B18" s="24">
        <f t="shared" ca="1" si="4"/>
        <v>31</v>
      </c>
      <c r="C18" s="19">
        <v>16</v>
      </c>
      <c r="D18" s="25">
        <f t="shared" si="1"/>
        <v>46164</v>
      </c>
      <c r="E18" s="18">
        <f t="shared" ca="1" si="7"/>
        <v>11982.79160000001</v>
      </c>
      <c r="F18" s="46">
        <f t="shared" ca="1" si="8"/>
        <v>5991.4</v>
      </c>
      <c r="G18" s="45">
        <f t="shared" ca="1" si="9"/>
        <v>6710.3680000000004</v>
      </c>
      <c r="H18" s="26">
        <f t="shared" ca="1" si="5"/>
        <v>718.96800000000076</v>
      </c>
      <c r="I18" s="26">
        <f t="shared" ca="1" si="6"/>
        <v>12701.75960000001</v>
      </c>
      <c r="J18" s="6" t="str">
        <f t="shared" ca="1" si="10"/>
        <v>Ganó limit</v>
      </c>
    </row>
    <row r="19" spans="1:12" s="1" customFormat="1" ht="18" customHeight="1" x14ac:dyDescent="0.25">
      <c r="A19" s="27">
        <f t="shared" ca="1" si="0"/>
        <v>0.67724466073119205</v>
      </c>
      <c r="B19" s="24">
        <f t="shared" ca="1" si="4"/>
        <v>45</v>
      </c>
      <c r="C19" s="19">
        <v>17</v>
      </c>
      <c r="D19" s="25">
        <f t="shared" si="1"/>
        <v>46167</v>
      </c>
      <c r="E19" s="18">
        <f t="shared" ca="1" si="7"/>
        <v>12701.75960000001</v>
      </c>
      <c r="F19" s="46">
        <f t="shared" ca="1" si="8"/>
        <v>6350.88</v>
      </c>
      <c r="G19" s="45">
        <f t="shared" ca="1" si="9"/>
        <v>7112.9856000000009</v>
      </c>
      <c r="H19" s="26">
        <f t="shared" ca="1" si="5"/>
        <v>762.10560000000078</v>
      </c>
      <c r="I19" s="26">
        <f t="shared" ca="1" si="6"/>
        <v>13463.865200000011</v>
      </c>
      <c r="J19" s="6" t="str">
        <f t="shared" ca="1" si="10"/>
        <v>Ganó limit</v>
      </c>
    </row>
    <row r="20" spans="1:12" s="1" customFormat="1" ht="18" customHeight="1" x14ac:dyDescent="0.25">
      <c r="A20" s="27">
        <f t="shared" ca="1" si="0"/>
        <v>0.31820664395656384</v>
      </c>
      <c r="B20" s="24">
        <f t="shared" ca="1" si="4"/>
        <v>25</v>
      </c>
      <c r="C20" s="19">
        <v>18</v>
      </c>
      <c r="D20" s="25">
        <f t="shared" si="1"/>
        <v>46168</v>
      </c>
      <c r="E20" s="18">
        <f t="shared" ca="1" si="7"/>
        <v>13463.865200000011</v>
      </c>
      <c r="F20" s="46">
        <f t="shared" ca="1" si="8"/>
        <v>6731.93</v>
      </c>
      <c r="G20" s="45">
        <f t="shared" ca="1" si="9"/>
        <v>7539.7616000000007</v>
      </c>
      <c r="H20" s="26">
        <f t="shared" ca="1" si="5"/>
        <v>807.83160000000044</v>
      </c>
      <c r="I20" s="26">
        <f t="shared" ca="1" si="6"/>
        <v>14271.696800000012</v>
      </c>
      <c r="J20" s="6" t="str">
        <f t="shared" ca="1" si="10"/>
        <v>Ganó limit</v>
      </c>
    </row>
    <row r="21" spans="1:12" s="1" customFormat="1" ht="18" customHeight="1" x14ac:dyDescent="0.25">
      <c r="A21" s="27">
        <f t="shared" ca="1" si="0"/>
        <v>0.14536590136562577</v>
      </c>
      <c r="B21" s="24">
        <f t="shared" ca="1" si="4"/>
        <v>7</v>
      </c>
      <c r="C21" s="19">
        <v>19</v>
      </c>
      <c r="D21" s="25">
        <f t="shared" si="1"/>
        <v>46169</v>
      </c>
      <c r="E21" s="18">
        <f t="shared" ca="1" si="7"/>
        <v>14271.696800000012</v>
      </c>
      <c r="F21" s="46">
        <f t="shared" ca="1" si="8"/>
        <v>7135.85</v>
      </c>
      <c r="G21" s="45">
        <f t="shared" ca="1" si="9"/>
        <v>7992.152000000001</v>
      </c>
      <c r="H21" s="26">
        <f t="shared" ca="1" si="5"/>
        <v>856.30200000000059</v>
      </c>
      <c r="I21" s="26">
        <f t="shared" ca="1" si="6"/>
        <v>15127.998800000012</v>
      </c>
      <c r="J21" s="6" t="str">
        <f t="shared" ca="1" si="10"/>
        <v>Ganó limit</v>
      </c>
    </row>
    <row r="22" spans="1:12" s="1" customFormat="1" ht="18" customHeight="1" x14ac:dyDescent="0.25">
      <c r="A22" s="27">
        <f t="shared" ca="1" si="0"/>
        <v>0.63349797690894305</v>
      </c>
      <c r="B22" s="24">
        <f t="shared" ca="1" si="4"/>
        <v>40</v>
      </c>
      <c r="C22" s="19">
        <v>20</v>
      </c>
      <c r="D22" s="25">
        <f t="shared" si="1"/>
        <v>46170</v>
      </c>
      <c r="E22" s="18">
        <f t="shared" ca="1" si="7"/>
        <v>15127.998800000012</v>
      </c>
      <c r="F22" s="46">
        <f t="shared" ca="1" si="8"/>
        <v>7564</v>
      </c>
      <c r="G22" s="45">
        <f t="shared" ca="1" si="9"/>
        <v>8471.68</v>
      </c>
      <c r="H22" s="26">
        <f t="shared" ca="1" si="5"/>
        <v>907.68000000000029</v>
      </c>
      <c r="I22" s="26">
        <f t="shared" ca="1" si="6"/>
        <v>16035.678800000012</v>
      </c>
      <c r="J22" s="6" t="str">
        <f t="shared" ca="1" si="10"/>
        <v>Ganó limit</v>
      </c>
    </row>
    <row r="23" spans="1:12" s="1" customFormat="1" ht="18" customHeight="1" x14ac:dyDescent="0.25">
      <c r="A23" s="27">
        <f t="shared" ca="1" si="0"/>
        <v>0.16751866247495828</v>
      </c>
      <c r="B23" s="24">
        <f t="shared" ca="1" si="4"/>
        <v>10</v>
      </c>
      <c r="C23" s="19">
        <v>21</v>
      </c>
      <c r="D23" s="25">
        <f t="shared" si="1"/>
        <v>46171</v>
      </c>
      <c r="E23" s="18">
        <f t="shared" ca="1" si="7"/>
        <v>16035.678800000012</v>
      </c>
      <c r="F23" s="46">
        <f t="shared" ca="1" si="8"/>
        <v>8017.84</v>
      </c>
      <c r="G23" s="45">
        <f t="shared" ca="1" si="9"/>
        <v>8979.9808000000012</v>
      </c>
      <c r="H23" s="26">
        <f t="shared" ca="1" si="5"/>
        <v>962.14080000000104</v>
      </c>
      <c r="I23" s="26">
        <f t="shared" ca="1" si="6"/>
        <v>16997.819600000013</v>
      </c>
      <c r="J23" s="6" t="str">
        <f t="shared" ca="1" si="10"/>
        <v>Ganó limit</v>
      </c>
    </row>
    <row r="24" spans="1:12" s="1" customFormat="1" ht="18" customHeight="1" x14ac:dyDescent="0.25">
      <c r="A24" s="27">
        <f t="shared" ca="1" si="0"/>
        <v>0.31169687335822638</v>
      </c>
      <c r="B24" s="24">
        <f t="shared" ca="1" si="4"/>
        <v>23</v>
      </c>
      <c r="C24" s="19">
        <v>22</v>
      </c>
      <c r="D24" s="25">
        <f t="shared" si="1"/>
        <v>46174</v>
      </c>
      <c r="E24" s="18">
        <f t="shared" ca="1" si="7"/>
        <v>16997.819600000013</v>
      </c>
      <c r="F24" s="46">
        <f t="shared" ca="1" si="8"/>
        <v>8498.91</v>
      </c>
      <c r="G24" s="45">
        <f t="shared" ca="1" si="9"/>
        <v>9518.7792000000009</v>
      </c>
      <c r="H24" s="26">
        <f t="shared" ca="1" si="5"/>
        <v>1019.869200000001</v>
      </c>
      <c r="I24" s="26">
        <f t="shared" ca="1" si="6"/>
        <v>18017.688800000014</v>
      </c>
      <c r="J24" s="6" t="str">
        <f t="shared" ca="1" si="10"/>
        <v>Ganó limit</v>
      </c>
    </row>
    <row r="25" spans="1:12" s="1" customFormat="1" ht="18" customHeight="1" x14ac:dyDescent="0.25">
      <c r="A25" s="27">
        <f t="shared" ca="1" si="0"/>
        <v>0.18030747992265383</v>
      </c>
      <c r="B25" s="24">
        <f t="shared" ca="1" si="4"/>
        <v>13</v>
      </c>
      <c r="C25" s="19">
        <v>23</v>
      </c>
      <c r="D25" s="25">
        <f t="shared" si="1"/>
        <v>46175</v>
      </c>
      <c r="E25" s="18">
        <f t="shared" ca="1" si="7"/>
        <v>18017.688800000014</v>
      </c>
      <c r="F25" s="46">
        <f t="shared" ca="1" si="8"/>
        <v>9008.84</v>
      </c>
      <c r="G25" s="45">
        <f t="shared" ca="1" si="9"/>
        <v>10089.900800000001</v>
      </c>
      <c r="H25" s="26">
        <f t="shared" ca="1" si="5"/>
        <v>1081.0608000000011</v>
      </c>
      <c r="I25" s="26">
        <f t="shared" ca="1" si="6"/>
        <v>19098.749600000017</v>
      </c>
      <c r="J25" s="6" t="str">
        <f t="shared" ca="1" si="10"/>
        <v>Ganó limit</v>
      </c>
    </row>
    <row r="26" spans="1:12" s="1" customFormat="1" ht="18" customHeight="1" x14ac:dyDescent="0.25">
      <c r="A26" s="27">
        <f t="shared" ca="1" si="0"/>
        <v>0.23240224786521513</v>
      </c>
      <c r="B26" s="24">
        <f t="shared" ca="1" si="4"/>
        <v>19</v>
      </c>
      <c r="C26" s="19">
        <v>24</v>
      </c>
      <c r="D26" s="25">
        <f t="shared" si="1"/>
        <v>46176</v>
      </c>
      <c r="E26" s="18">
        <f t="shared" ca="1" si="7"/>
        <v>19098.749600000017</v>
      </c>
      <c r="F26" s="46">
        <f t="shared" ca="1" si="8"/>
        <v>9549.3700000000008</v>
      </c>
      <c r="G26" s="45">
        <f t="shared" ca="1" si="9"/>
        <v>10695.294400000002</v>
      </c>
      <c r="H26" s="26">
        <f t="shared" ca="1" si="5"/>
        <v>1145.9244000000017</v>
      </c>
      <c r="I26" s="26">
        <f t="shared" ca="1" si="6"/>
        <v>20244.674000000021</v>
      </c>
      <c r="J26" s="6" t="str">
        <f t="shared" ca="1" si="10"/>
        <v>Ganó limit</v>
      </c>
    </row>
    <row r="27" spans="1:12" s="1" customFormat="1" ht="18" customHeight="1" x14ac:dyDescent="0.25">
      <c r="A27" s="27">
        <f t="shared" ca="1" si="0"/>
        <v>0.48547680822013728</v>
      </c>
      <c r="B27" s="24">
        <f t="shared" ca="1" si="4"/>
        <v>36</v>
      </c>
      <c r="C27" s="19">
        <v>25</v>
      </c>
      <c r="D27" s="25">
        <f t="shared" si="1"/>
        <v>46177</v>
      </c>
      <c r="E27" s="18">
        <f t="shared" ca="1" si="7"/>
        <v>20244.674000000021</v>
      </c>
      <c r="F27" s="46">
        <f t="shared" ca="1" si="8"/>
        <v>10122.34</v>
      </c>
      <c r="G27" s="45">
        <f t="shared" ca="1" si="9"/>
        <v>11337.020800000002</v>
      </c>
      <c r="H27" s="26">
        <f t="shared" ca="1" si="5"/>
        <v>1214.6808000000019</v>
      </c>
      <c r="I27" s="26">
        <f t="shared" ca="1" si="6"/>
        <v>21459.354800000023</v>
      </c>
      <c r="J27" s="6" t="str">
        <f t="shared" ca="1" si="10"/>
        <v>Ganó limit</v>
      </c>
    </row>
    <row r="28" spans="1:12" s="1" customFormat="1" ht="18" customHeight="1" x14ac:dyDescent="0.25">
      <c r="A28" s="27">
        <f t="shared" ca="1" si="0"/>
        <v>0.38919496936997866</v>
      </c>
      <c r="B28" s="24">
        <f t="shared" ca="1" si="4"/>
        <v>32</v>
      </c>
      <c r="C28" s="19">
        <v>26</v>
      </c>
      <c r="D28" s="25">
        <f t="shared" si="1"/>
        <v>46178</v>
      </c>
      <c r="E28" s="18">
        <f t="shared" ca="1" si="7"/>
        <v>21459.354800000023</v>
      </c>
      <c r="F28" s="46">
        <f t="shared" ca="1" si="8"/>
        <v>10729.68</v>
      </c>
      <c r="G28" s="45">
        <f t="shared" ca="1" si="9"/>
        <v>12017.241600000001</v>
      </c>
      <c r="H28" s="26">
        <f t="shared" ca="1" si="5"/>
        <v>1287.5616000000009</v>
      </c>
      <c r="I28" s="26">
        <f t="shared" ca="1" si="6"/>
        <v>22746.916400000024</v>
      </c>
      <c r="J28" s="6" t="str">
        <f t="shared" ca="1" si="10"/>
        <v>Ganó limit</v>
      </c>
    </row>
    <row r="29" spans="1:12" s="1" customFormat="1" ht="18" customHeight="1" x14ac:dyDescent="0.25">
      <c r="A29" s="27">
        <f t="shared" ca="1" si="0"/>
        <v>0.20104321382626866</v>
      </c>
      <c r="B29" s="24">
        <f t="shared" ca="1" si="4"/>
        <v>16</v>
      </c>
      <c r="C29" s="19">
        <v>27</v>
      </c>
      <c r="D29" s="25">
        <f t="shared" si="1"/>
        <v>46181</v>
      </c>
      <c r="E29" s="18">
        <f t="shared" ca="1" si="7"/>
        <v>22746.916400000024</v>
      </c>
      <c r="F29" s="46">
        <f t="shared" ca="1" si="8"/>
        <v>11373.46</v>
      </c>
      <c r="G29" s="45">
        <f t="shared" ca="1" si="9"/>
        <v>12738.2752</v>
      </c>
      <c r="H29" s="26">
        <f t="shared" ca="1" si="5"/>
        <v>1364.8152000000009</v>
      </c>
      <c r="I29" s="26">
        <f t="shared" ca="1" si="6"/>
        <v>24111.731600000025</v>
      </c>
      <c r="J29" s="6" t="str">
        <f t="shared" ca="1" si="10"/>
        <v>Ganó limit</v>
      </c>
    </row>
    <row r="30" spans="1:12" s="1" customFormat="1" ht="18" customHeight="1" x14ac:dyDescent="0.25">
      <c r="A30" s="27">
        <f t="shared" ca="1" si="0"/>
        <v>0.63794607560437167</v>
      </c>
      <c r="B30" s="24">
        <f t="shared" ca="1" si="4"/>
        <v>42</v>
      </c>
      <c r="C30" s="19">
        <v>28</v>
      </c>
      <c r="D30" s="25">
        <f t="shared" si="1"/>
        <v>46182</v>
      </c>
      <c r="E30" s="18">
        <f t="shared" ca="1" si="7"/>
        <v>24111.731600000025</v>
      </c>
      <c r="F30" s="46">
        <f t="shared" ca="1" si="8"/>
        <v>12055.87</v>
      </c>
      <c r="G30" s="45">
        <f t="shared" ca="1" si="9"/>
        <v>13502.574400000001</v>
      </c>
      <c r="H30" s="26">
        <f t="shared" ca="1" si="5"/>
        <v>1446.7044000000005</v>
      </c>
      <c r="I30" s="26">
        <f t="shared" ca="1" si="6"/>
        <v>25558.436000000023</v>
      </c>
      <c r="J30" s="6" t="str">
        <f t="shared" ca="1" si="10"/>
        <v>Ganó limit</v>
      </c>
    </row>
    <row r="31" spans="1:12" s="1" customFormat="1" ht="18" customHeight="1" x14ac:dyDescent="0.25">
      <c r="A31" s="27">
        <f t="shared" ca="1" si="0"/>
        <v>0.89631562943940457</v>
      </c>
      <c r="B31" s="24">
        <f t="shared" ca="1" si="4"/>
        <v>54</v>
      </c>
      <c r="C31" s="19">
        <v>29</v>
      </c>
      <c r="D31" s="25">
        <f t="shared" si="1"/>
        <v>46183</v>
      </c>
      <c r="E31" s="18">
        <f t="shared" ca="1" si="7"/>
        <v>25558.436000000023</v>
      </c>
      <c r="F31" s="46">
        <f t="shared" ca="1" si="8"/>
        <v>12779.22</v>
      </c>
      <c r="G31" s="45">
        <f t="shared" ca="1" si="9"/>
        <v>14312.726400000001</v>
      </c>
      <c r="H31" s="26">
        <f t="shared" ca="1" si="5"/>
        <v>1533.506400000002</v>
      </c>
      <c r="I31" s="26">
        <f t="shared" ca="1" si="6"/>
        <v>27091.942400000025</v>
      </c>
      <c r="J31" s="6" t="str">
        <f t="shared" ca="1" si="10"/>
        <v>Ganó limit</v>
      </c>
    </row>
    <row r="32" spans="1:12" s="1" customFormat="1" ht="18" customHeight="1" x14ac:dyDescent="0.25">
      <c r="A32" s="27">
        <f t="shared" ca="1" si="0"/>
        <v>0.51848159003721794</v>
      </c>
      <c r="B32" s="24">
        <f t="shared" ca="1" si="4"/>
        <v>37</v>
      </c>
      <c r="C32" s="19">
        <v>30</v>
      </c>
      <c r="D32" s="25">
        <f t="shared" si="1"/>
        <v>46184</v>
      </c>
      <c r="E32" s="18">
        <f t="shared" ca="1" si="7"/>
        <v>27091.942400000025</v>
      </c>
      <c r="F32" s="46">
        <f t="shared" ca="1" si="8"/>
        <v>13545.97</v>
      </c>
      <c r="G32" s="45">
        <f t="shared" ca="1" si="9"/>
        <v>15171.486400000002</v>
      </c>
      <c r="H32" s="26">
        <f t="shared" ca="1" si="5"/>
        <v>1625.5164000000022</v>
      </c>
      <c r="I32" s="26">
        <f t="shared" ca="1" si="6"/>
        <v>28717.458800000029</v>
      </c>
      <c r="J32" s="6" t="str">
        <f t="shared" ca="1" si="10"/>
        <v>Ganó limit</v>
      </c>
    </row>
    <row r="33" spans="1:10" s="1" customFormat="1" ht="18" customHeight="1" x14ac:dyDescent="0.25">
      <c r="A33" s="27">
        <f t="shared" ca="1" si="0"/>
        <v>0.5977908258585698</v>
      </c>
      <c r="B33" s="24">
        <f t="shared" ca="1" si="4"/>
        <v>39</v>
      </c>
      <c r="C33" s="19">
        <v>31</v>
      </c>
      <c r="D33" s="25">
        <f t="shared" si="1"/>
        <v>46185</v>
      </c>
      <c r="E33" s="18">
        <f t="shared" ca="1" si="7"/>
        <v>28717.458800000029</v>
      </c>
      <c r="F33" s="46">
        <f t="shared" ca="1" si="8"/>
        <v>14358.73</v>
      </c>
      <c r="G33" s="45">
        <f t="shared" ca="1" si="9"/>
        <v>16081.777600000001</v>
      </c>
      <c r="H33" s="26">
        <f t="shared" ca="1" si="5"/>
        <v>1723.0476000000017</v>
      </c>
      <c r="I33" s="26">
        <f t="shared" ca="1" si="6"/>
        <v>30440.506400000031</v>
      </c>
      <c r="J33" s="6" t="str">
        <f t="shared" ca="1" si="10"/>
        <v>Ganó limit</v>
      </c>
    </row>
    <row r="34" spans="1:10" s="1" customFormat="1" ht="18" customHeight="1" x14ac:dyDescent="0.25">
      <c r="A34" s="27">
        <f t="shared" ca="1" si="0"/>
        <v>0.77690200965109502</v>
      </c>
      <c r="B34" s="24">
        <f t="shared" ca="1" si="4"/>
        <v>47</v>
      </c>
      <c r="C34" s="19">
        <v>32</v>
      </c>
      <c r="D34" s="25">
        <f t="shared" si="1"/>
        <v>46188</v>
      </c>
      <c r="E34" s="18">
        <f t="shared" ca="1" si="7"/>
        <v>30440.506400000031</v>
      </c>
      <c r="F34" s="46">
        <f t="shared" ca="1" si="8"/>
        <v>15220.25</v>
      </c>
      <c r="G34" s="45">
        <f t="shared" ca="1" si="9"/>
        <v>17046.68</v>
      </c>
      <c r="H34" s="26">
        <f t="shared" ca="1" si="5"/>
        <v>1826.4300000000003</v>
      </c>
      <c r="I34" s="26">
        <f t="shared" ca="1" si="6"/>
        <v>32266.936400000031</v>
      </c>
      <c r="J34" s="6" t="str">
        <f t="shared" ca="1" si="10"/>
        <v>Ganó limit</v>
      </c>
    </row>
    <row r="35" spans="1:10" s="1" customFormat="1" ht="18" customHeight="1" x14ac:dyDescent="0.25">
      <c r="A35" s="27">
        <f t="shared" ca="1" si="0"/>
        <v>0.47317484515171793</v>
      </c>
      <c r="B35" s="24">
        <f t="shared" ca="1" si="4"/>
        <v>35</v>
      </c>
      <c r="C35" s="19">
        <v>33</v>
      </c>
      <c r="D35" s="25">
        <f t="shared" si="1"/>
        <v>46189</v>
      </c>
      <c r="E35" s="18">
        <f t="shared" ca="1" si="7"/>
        <v>32266.936400000031</v>
      </c>
      <c r="F35" s="46">
        <f t="shared" ca="1" si="8"/>
        <v>16133.47</v>
      </c>
      <c r="G35" s="45">
        <f t="shared" ca="1" si="9"/>
        <v>18069.486400000002</v>
      </c>
      <c r="H35" s="26">
        <f t="shared" ca="1" si="5"/>
        <v>1936.0164000000022</v>
      </c>
      <c r="I35" s="26">
        <f t="shared" ca="1" si="6"/>
        <v>34202.952800000035</v>
      </c>
      <c r="J35" s="6" t="str">
        <f t="shared" ca="1" si="10"/>
        <v>Ganó limit</v>
      </c>
    </row>
    <row r="36" spans="1:10" s="1" customFormat="1" ht="18" customHeight="1" x14ac:dyDescent="0.25">
      <c r="A36" s="27">
        <f t="shared" ca="1" si="0"/>
        <v>8.3165158458604727E-2</v>
      </c>
      <c r="B36" s="24">
        <f t="shared" ca="1" si="4"/>
        <v>6</v>
      </c>
      <c r="C36" s="19">
        <v>34</v>
      </c>
      <c r="D36" s="25">
        <f t="shared" si="1"/>
        <v>46190</v>
      </c>
      <c r="E36" s="18">
        <f t="shared" ca="1" si="7"/>
        <v>34202.952800000035</v>
      </c>
      <c r="F36" s="46">
        <f t="shared" ca="1" si="8"/>
        <v>17101.48</v>
      </c>
      <c r="G36" s="45">
        <f t="shared" ca="1" si="9"/>
        <v>19153.657600000002</v>
      </c>
      <c r="H36" s="26">
        <f t="shared" ca="1" si="5"/>
        <v>2052.1776000000027</v>
      </c>
      <c r="I36" s="26">
        <f t="shared" ca="1" si="6"/>
        <v>36255.130400000038</v>
      </c>
      <c r="J36" s="6" t="str">
        <f t="shared" ca="1" si="10"/>
        <v>Ganó limit</v>
      </c>
    </row>
    <row r="37" spans="1:10" s="1" customFormat="1" ht="18" customHeight="1" x14ac:dyDescent="0.25">
      <c r="A37" s="27">
        <f t="shared" ca="1" si="0"/>
        <v>7.8754872800478326E-3</v>
      </c>
      <c r="B37" s="24">
        <f t="shared" ca="1" si="4"/>
        <v>2</v>
      </c>
      <c r="C37" s="19">
        <v>35</v>
      </c>
      <c r="D37" s="25">
        <f t="shared" si="1"/>
        <v>46191</v>
      </c>
      <c r="E37" s="18">
        <f t="shared" ca="1" si="7"/>
        <v>36255.130400000038</v>
      </c>
      <c r="F37" s="46">
        <f t="shared" ca="1" si="8"/>
        <v>18127.57</v>
      </c>
      <c r="G37" s="45">
        <f t="shared" ca="1" si="9"/>
        <v>20302.878400000001</v>
      </c>
      <c r="H37" s="26">
        <f t="shared" ca="1" si="5"/>
        <v>2175.3084000000017</v>
      </c>
      <c r="I37" s="26">
        <f t="shared" ca="1" si="6"/>
        <v>38430.43880000004</v>
      </c>
      <c r="J37" s="6" t="str">
        <f t="shared" ca="1" si="10"/>
        <v>Ganó limit</v>
      </c>
    </row>
    <row r="38" spans="1:10" s="1" customFormat="1" ht="18" customHeight="1" x14ac:dyDescent="0.25">
      <c r="A38" s="27">
        <f t="shared" ca="1" si="0"/>
        <v>0.98955060275165474</v>
      </c>
      <c r="B38" s="24">
        <f t="shared" ca="1" si="4"/>
        <v>56</v>
      </c>
      <c r="C38" s="19">
        <v>36</v>
      </c>
      <c r="D38" s="25">
        <f t="shared" si="1"/>
        <v>46192</v>
      </c>
      <c r="E38" s="18">
        <f t="shared" ca="1" si="7"/>
        <v>38430.43880000004</v>
      </c>
      <c r="F38" s="46">
        <f t="shared" ca="1" si="8"/>
        <v>19215.22</v>
      </c>
      <c r="G38" s="45">
        <f t="shared" ca="1" si="9"/>
        <v>21521.046400000003</v>
      </c>
      <c r="H38" s="26">
        <f t="shared" ca="1" si="5"/>
        <v>2305.8264000000017</v>
      </c>
      <c r="I38" s="26">
        <f t="shared" ca="1" si="6"/>
        <v>40736.265200000038</v>
      </c>
      <c r="J38" s="6" t="str">
        <f t="shared" ca="1" si="10"/>
        <v>Ganó limit</v>
      </c>
    </row>
    <row r="39" spans="1:10" s="1" customFormat="1" ht="18" customHeight="1" x14ac:dyDescent="0.25">
      <c r="A39" s="27">
        <f t="shared" ca="1" si="0"/>
        <v>0.17884653057167388</v>
      </c>
      <c r="B39" s="24">
        <f t="shared" ca="1" si="4"/>
        <v>12</v>
      </c>
      <c r="C39" s="19">
        <v>37</v>
      </c>
      <c r="D39" s="25">
        <f t="shared" si="1"/>
        <v>46195</v>
      </c>
      <c r="E39" s="18">
        <f t="shared" ca="1" si="7"/>
        <v>40736.265200000038</v>
      </c>
      <c r="F39" s="46">
        <f t="shared" ca="1" si="8"/>
        <v>20368.13</v>
      </c>
      <c r="G39" s="45">
        <f t="shared" ca="1" si="9"/>
        <v>22812.305600000003</v>
      </c>
      <c r="H39" s="26">
        <f t="shared" ca="1" si="5"/>
        <v>2444.1756000000023</v>
      </c>
      <c r="I39" s="26">
        <f t="shared" ca="1" si="6"/>
        <v>43180.44080000004</v>
      </c>
      <c r="J39" s="6" t="str">
        <f t="shared" ca="1" si="10"/>
        <v>Ganó limit</v>
      </c>
    </row>
    <row r="40" spans="1:10" s="1" customFormat="1" ht="18" customHeight="1" x14ac:dyDescent="0.25">
      <c r="A40" s="27">
        <f t="shared" ca="1" si="0"/>
        <v>0.99882592886492749</v>
      </c>
      <c r="B40" s="24">
        <f t="shared" ca="1" si="4"/>
        <v>58</v>
      </c>
      <c r="C40" s="19">
        <v>38</v>
      </c>
      <c r="D40" s="25">
        <f t="shared" si="1"/>
        <v>46196</v>
      </c>
      <c r="E40" s="18">
        <f t="shared" ca="1" si="7"/>
        <v>43180.44080000004</v>
      </c>
      <c r="F40" s="46">
        <f t="shared" ca="1" si="8"/>
        <v>21590.22</v>
      </c>
      <c r="G40" s="45">
        <f t="shared" ca="1" si="9"/>
        <v>24181.046400000003</v>
      </c>
      <c r="H40" s="26">
        <f t="shared" ca="1" si="5"/>
        <v>2590.8264000000017</v>
      </c>
      <c r="I40" s="26">
        <f t="shared" ca="1" si="6"/>
        <v>45771.267200000046</v>
      </c>
      <c r="J40" s="6" t="str">
        <f t="shared" ca="1" si="10"/>
        <v>Ganó limit</v>
      </c>
    </row>
    <row r="41" spans="1:10" s="1" customFormat="1" ht="18" customHeight="1" x14ac:dyDescent="0.25">
      <c r="A41" s="27">
        <f t="shared" ca="1" si="0"/>
        <v>0.17723070038457656</v>
      </c>
      <c r="B41" s="24">
        <f t="shared" ca="1" si="4"/>
        <v>11</v>
      </c>
      <c r="C41" s="19">
        <v>39</v>
      </c>
      <c r="D41" s="25">
        <f t="shared" si="1"/>
        <v>46197</v>
      </c>
      <c r="E41" s="18">
        <f t="shared" ca="1" si="7"/>
        <v>45771.267200000046</v>
      </c>
      <c r="F41" s="46">
        <f t="shared" ca="1" si="8"/>
        <v>22885.63</v>
      </c>
      <c r="G41" s="45">
        <f t="shared" ca="1" si="9"/>
        <v>25631.905600000002</v>
      </c>
      <c r="H41" s="26">
        <f t="shared" ca="1" si="5"/>
        <v>2746.2756000000008</v>
      </c>
      <c r="I41" s="26">
        <f t="shared" ca="1" si="6"/>
        <v>48517.542800000047</v>
      </c>
      <c r="J41" s="6" t="str">
        <f t="shared" ca="1" si="10"/>
        <v>Ganó limit</v>
      </c>
    </row>
    <row r="42" spans="1:10" s="1" customFormat="1" ht="18" customHeight="1" x14ac:dyDescent="0.25">
      <c r="A42" s="27">
        <f t="shared" ca="1" si="0"/>
        <v>0.52453336774902226</v>
      </c>
      <c r="B42" s="24">
        <f t="shared" ca="1" si="4"/>
        <v>38</v>
      </c>
      <c r="C42" s="19">
        <v>40</v>
      </c>
      <c r="D42" s="25">
        <f t="shared" si="1"/>
        <v>46198</v>
      </c>
      <c r="E42" s="18">
        <f t="shared" ca="1" si="7"/>
        <v>48517.542800000047</v>
      </c>
      <c r="F42" s="46">
        <f t="shared" ca="1" si="8"/>
        <v>24258.77</v>
      </c>
      <c r="G42" s="45">
        <f t="shared" ca="1" si="9"/>
        <v>27169.822400000005</v>
      </c>
      <c r="H42" s="26">
        <f t="shared" ca="1" si="5"/>
        <v>2911.0524000000041</v>
      </c>
      <c r="I42" s="26">
        <f t="shared" ca="1" si="6"/>
        <v>51428.595200000054</v>
      </c>
      <c r="J42" s="6" t="str">
        <f t="shared" ca="1" si="10"/>
        <v>Ganó limit</v>
      </c>
    </row>
    <row r="43" spans="1:10" s="1" customFormat="1" ht="18" customHeight="1" x14ac:dyDescent="0.25">
      <c r="A43" s="27">
        <f t="shared" ca="1" si="0"/>
        <v>0.82274668393135952</v>
      </c>
      <c r="B43" s="24">
        <f t="shared" ca="1" si="4"/>
        <v>51</v>
      </c>
      <c r="C43" s="19">
        <v>41</v>
      </c>
      <c r="D43" s="25">
        <f t="shared" si="1"/>
        <v>46199</v>
      </c>
      <c r="E43" s="18">
        <f t="shared" ca="1" si="7"/>
        <v>51428.595200000054</v>
      </c>
      <c r="F43" s="46">
        <f t="shared" ca="1" si="8"/>
        <v>25714.3</v>
      </c>
      <c r="G43" s="45">
        <f t="shared" ca="1" si="9"/>
        <v>28800.016000000003</v>
      </c>
      <c r="H43" s="26">
        <f t="shared" ca="1" si="5"/>
        <v>3085.716000000004</v>
      </c>
      <c r="I43" s="26">
        <f t="shared" ca="1" si="6"/>
        <v>54514.311200000055</v>
      </c>
      <c r="J43" s="6" t="str">
        <f t="shared" ca="1" si="10"/>
        <v>Ganó limit</v>
      </c>
    </row>
    <row r="44" spans="1:10" s="1" customFormat="1" ht="18" customHeight="1" x14ac:dyDescent="0.25">
      <c r="A44" s="27">
        <f t="shared" ca="1" si="0"/>
        <v>0.21178240271807736</v>
      </c>
      <c r="B44" s="24">
        <f t="shared" ca="1" si="4"/>
        <v>18</v>
      </c>
      <c r="C44" s="19">
        <v>42</v>
      </c>
      <c r="D44" s="25">
        <f t="shared" si="1"/>
        <v>46202</v>
      </c>
      <c r="E44" s="18">
        <f t="shared" ca="1" si="7"/>
        <v>54514.311200000055</v>
      </c>
      <c r="F44" s="46">
        <f t="shared" ca="1" si="8"/>
        <v>27257.16</v>
      </c>
      <c r="G44" s="45">
        <f t="shared" ca="1" si="9"/>
        <v>30528.019200000002</v>
      </c>
      <c r="H44" s="26">
        <f t="shared" ca="1" si="5"/>
        <v>3270.8592000000026</v>
      </c>
      <c r="I44" s="26">
        <f t="shared" ca="1" si="6"/>
        <v>57785.170400000061</v>
      </c>
      <c r="J44" s="6" t="str">
        <f t="shared" ca="1" si="10"/>
        <v>Ganó limit</v>
      </c>
    </row>
    <row r="45" spans="1:10" s="1" customFormat="1" ht="18" customHeight="1" x14ac:dyDescent="0.25">
      <c r="A45" s="27">
        <f t="shared" ca="1" si="0"/>
        <v>0.95790488593681566</v>
      </c>
      <c r="B45" s="24">
        <f t="shared" ca="1" si="4"/>
        <v>55</v>
      </c>
      <c r="C45" s="19">
        <v>43</v>
      </c>
      <c r="D45" s="25">
        <f t="shared" si="1"/>
        <v>46203</v>
      </c>
      <c r="E45" s="18">
        <f t="shared" ca="1" si="7"/>
        <v>57785.170400000061</v>
      </c>
      <c r="F45" s="46">
        <f t="shared" ca="1" si="8"/>
        <v>28892.59</v>
      </c>
      <c r="G45" s="45">
        <f t="shared" ca="1" si="9"/>
        <v>32359.700800000002</v>
      </c>
      <c r="H45" s="26">
        <f t="shared" ca="1" si="5"/>
        <v>3467.1108000000022</v>
      </c>
      <c r="I45" s="26">
        <f t="shared" ca="1" si="6"/>
        <v>61252.281200000063</v>
      </c>
      <c r="J45" s="6" t="str">
        <f t="shared" ca="1" si="10"/>
        <v>Ganó limit</v>
      </c>
    </row>
    <row r="46" spans="1:10" s="1" customFormat="1" ht="18" customHeight="1" x14ac:dyDescent="0.25">
      <c r="A46" s="27">
        <f t="shared" ca="1" si="0"/>
        <v>0.6670776915454476</v>
      </c>
      <c r="B46" s="24">
        <f t="shared" ca="1" si="4"/>
        <v>44</v>
      </c>
      <c r="C46" s="19">
        <v>44</v>
      </c>
      <c r="D46" s="25">
        <f t="shared" si="1"/>
        <v>46204</v>
      </c>
      <c r="E46" s="18">
        <f t="shared" ca="1" si="7"/>
        <v>61252.281200000063</v>
      </c>
      <c r="F46" s="46">
        <f t="shared" ca="1" si="8"/>
        <v>30626.14</v>
      </c>
      <c r="G46" s="45">
        <f t="shared" ca="1" si="9"/>
        <v>34301.2768</v>
      </c>
      <c r="H46" s="26">
        <f t="shared" ca="1" si="5"/>
        <v>3675.1368000000002</v>
      </c>
      <c r="I46" s="26">
        <f t="shared" ca="1" si="6"/>
        <v>64927.418000000063</v>
      </c>
      <c r="J46" s="6" t="str">
        <f t="shared" ca="1" si="10"/>
        <v>Ganó limit</v>
      </c>
    </row>
    <row r="47" spans="1:10" s="1" customFormat="1" ht="18" customHeight="1" x14ac:dyDescent="0.25">
      <c r="A47" s="27">
        <f t="shared" ca="1" si="0"/>
        <v>0.36487787672555383</v>
      </c>
      <c r="B47" s="24">
        <f t="shared" ca="1" si="4"/>
        <v>30</v>
      </c>
      <c r="C47" s="19">
        <v>45</v>
      </c>
      <c r="D47" s="25">
        <f t="shared" si="1"/>
        <v>46205</v>
      </c>
      <c r="E47" s="18">
        <f t="shared" ca="1" si="7"/>
        <v>64927.418000000063</v>
      </c>
      <c r="F47" s="46">
        <f t="shared" ca="1" si="8"/>
        <v>32463.71</v>
      </c>
      <c r="G47" s="45">
        <f t="shared" ca="1" si="9"/>
        <v>36359.355200000005</v>
      </c>
      <c r="H47" s="26">
        <f t="shared" ca="1" si="5"/>
        <v>3895.6452000000063</v>
      </c>
      <c r="I47" s="26">
        <f t="shared" ca="1" si="6"/>
        <v>68823.063200000062</v>
      </c>
      <c r="J47" s="6" t="str">
        <f t="shared" ca="1" si="10"/>
        <v>Ganó limit</v>
      </c>
    </row>
    <row r="48" spans="1:10" s="1" customFormat="1" ht="18" customHeight="1" x14ac:dyDescent="0.25">
      <c r="A48" s="27">
        <f t="shared" ca="1" si="0"/>
        <v>0.63359827492265264</v>
      </c>
      <c r="B48" s="24">
        <f t="shared" ca="1" si="4"/>
        <v>41</v>
      </c>
      <c r="C48" s="19">
        <v>46</v>
      </c>
      <c r="D48" s="25">
        <f t="shared" si="1"/>
        <v>46206</v>
      </c>
      <c r="E48" s="18">
        <f t="shared" ca="1" si="7"/>
        <v>68823.063200000062</v>
      </c>
      <c r="F48" s="46">
        <f t="shared" ca="1" si="8"/>
        <v>34411.53</v>
      </c>
      <c r="G48" s="45">
        <f t="shared" ca="1" si="9"/>
        <v>38540.9136</v>
      </c>
      <c r="H48" s="26">
        <f t="shared" ca="1" si="5"/>
        <v>4129.383600000001</v>
      </c>
      <c r="I48" s="26">
        <f t="shared" ca="1" si="6"/>
        <v>72952.446800000063</v>
      </c>
      <c r="J48" s="6" t="str">
        <f t="shared" ca="1" si="10"/>
        <v>Ganó limit</v>
      </c>
    </row>
    <row r="49" spans="1:10" s="1" customFormat="1" ht="18" customHeight="1" x14ac:dyDescent="0.25">
      <c r="A49" s="27">
        <f t="shared" ca="1" si="0"/>
        <v>0.18860556911339177</v>
      </c>
      <c r="B49" s="24">
        <f t="shared" ca="1" si="4"/>
        <v>14</v>
      </c>
      <c r="C49" s="19">
        <v>47</v>
      </c>
      <c r="D49" s="25">
        <f t="shared" si="1"/>
        <v>46209</v>
      </c>
      <c r="E49" s="18">
        <f t="shared" ca="1" si="7"/>
        <v>72952.446800000063</v>
      </c>
      <c r="F49" s="46">
        <f t="shared" ca="1" si="8"/>
        <v>36476.22</v>
      </c>
      <c r="G49" s="45">
        <f t="shared" ca="1" si="9"/>
        <v>40853.366400000006</v>
      </c>
      <c r="H49" s="26">
        <f t="shared" ca="1" si="5"/>
        <v>4377.1464000000051</v>
      </c>
      <c r="I49" s="26">
        <f t="shared" ca="1" si="6"/>
        <v>77329.593200000061</v>
      </c>
      <c r="J49" s="6" t="str">
        <f t="shared" ca="1" si="10"/>
        <v>Ganó limit</v>
      </c>
    </row>
    <row r="50" spans="1:10" s="1" customFormat="1" ht="18" customHeight="1" x14ac:dyDescent="0.25">
      <c r="A50" s="27">
        <f t="shared" ca="1" si="0"/>
        <v>0.312929882116188</v>
      </c>
      <c r="B50" s="24">
        <f t="shared" ca="1" si="4"/>
        <v>24</v>
      </c>
      <c r="C50" s="19">
        <v>48</v>
      </c>
      <c r="D50" s="25">
        <f t="shared" si="1"/>
        <v>46210</v>
      </c>
      <c r="E50" s="18">
        <f t="shared" ca="1" si="7"/>
        <v>77329.593200000061</v>
      </c>
      <c r="F50" s="46">
        <f t="shared" ca="1" si="8"/>
        <v>38664.800000000003</v>
      </c>
      <c r="G50" s="45">
        <f t="shared" ca="1" si="9"/>
        <v>43304.576000000008</v>
      </c>
      <c r="H50" s="26">
        <f t="shared" ca="1" si="5"/>
        <v>4639.7760000000053</v>
      </c>
      <c r="I50" s="26">
        <f t="shared" ca="1" si="6"/>
        <v>81969.369200000074</v>
      </c>
      <c r="J50" s="6" t="str">
        <f t="shared" ca="1" si="10"/>
        <v>Ganó limit</v>
      </c>
    </row>
    <row r="51" spans="1:10" s="1" customFormat="1" ht="18" customHeight="1" x14ac:dyDescent="0.25">
      <c r="A51" s="27">
        <f t="shared" ca="1" si="0"/>
        <v>0.74643240369148223</v>
      </c>
      <c r="B51" s="24">
        <f t="shared" ca="1" si="4"/>
        <v>46</v>
      </c>
      <c r="C51" s="19">
        <v>49</v>
      </c>
      <c r="D51" s="25">
        <f t="shared" si="1"/>
        <v>46211</v>
      </c>
      <c r="E51" s="18">
        <f t="shared" ca="1" si="7"/>
        <v>81969.369200000074</v>
      </c>
      <c r="F51" s="46">
        <f t="shared" ca="1" si="8"/>
        <v>40984.68</v>
      </c>
      <c r="G51" s="45">
        <f t="shared" ca="1" si="9"/>
        <v>45902.841600000007</v>
      </c>
      <c r="H51" s="26">
        <f t="shared" ca="1" si="5"/>
        <v>4918.1616000000067</v>
      </c>
      <c r="I51" s="26">
        <f t="shared" ca="1" si="6"/>
        <v>86887.53080000008</v>
      </c>
      <c r="J51" s="6" t="str">
        <f t="shared" ca="1" si="10"/>
        <v>Ganó limit</v>
      </c>
    </row>
    <row r="52" spans="1:10" s="1" customFormat="1" ht="18" customHeight="1" x14ac:dyDescent="0.25">
      <c r="A52" s="27">
        <f t="shared" ca="1" si="0"/>
        <v>0.82876633602539762</v>
      </c>
      <c r="B52" s="24">
        <f t="shared" ca="1" si="4"/>
        <v>52</v>
      </c>
      <c r="C52" s="19">
        <v>50</v>
      </c>
      <c r="D52" s="25">
        <f t="shared" si="1"/>
        <v>46212</v>
      </c>
      <c r="E52" s="18">
        <f t="shared" ca="1" si="7"/>
        <v>86887.53080000008</v>
      </c>
      <c r="F52" s="46">
        <f t="shared" ca="1" si="8"/>
        <v>43443.77</v>
      </c>
      <c r="G52" s="45">
        <f t="shared" ca="1" si="9"/>
        <v>48657.022400000002</v>
      </c>
      <c r="H52" s="26">
        <f t="shared" ca="1" si="5"/>
        <v>5213.2524000000049</v>
      </c>
      <c r="I52" s="26">
        <f t="shared" ca="1" si="6"/>
        <v>92100.783200000093</v>
      </c>
      <c r="J52" s="6" t="str">
        <f t="shared" ca="1" si="10"/>
        <v>Ganó limit</v>
      </c>
    </row>
    <row r="53" spans="1:10" s="1" customFormat="1" ht="18" customHeight="1" x14ac:dyDescent="0.25">
      <c r="A53" s="27">
        <f t="shared" ca="1" si="0"/>
        <v>0.32104570500140872</v>
      </c>
      <c r="B53" s="24">
        <f t="shared" ca="1" si="4"/>
        <v>26</v>
      </c>
      <c r="C53" s="19">
        <v>51</v>
      </c>
      <c r="D53" s="25">
        <f t="shared" si="1"/>
        <v>46213</v>
      </c>
      <c r="E53" s="18">
        <f t="shared" ca="1" si="7"/>
        <v>92100.783200000093</v>
      </c>
      <c r="F53" s="46">
        <f t="shared" ca="1" si="8"/>
        <v>46050.39</v>
      </c>
      <c r="G53" s="45">
        <f t="shared" ca="1" si="9"/>
        <v>51576.436800000003</v>
      </c>
      <c r="H53" s="26">
        <f t="shared" ca="1" si="5"/>
        <v>5526.0468000000037</v>
      </c>
      <c r="I53" s="26">
        <f t="shared" ca="1" si="6"/>
        <v>97626.830000000104</v>
      </c>
      <c r="J53" s="6" t="str">
        <f t="shared" ca="1" si="10"/>
        <v>Ganó limit</v>
      </c>
    </row>
    <row r="54" spans="1:10" s="1" customFormat="1" ht="18" customHeight="1" x14ac:dyDescent="0.25">
      <c r="A54" s="27">
        <f t="shared" ca="1" si="0"/>
        <v>3.2801895131121306E-2</v>
      </c>
      <c r="B54" s="24">
        <f t="shared" ca="1" si="4"/>
        <v>4</v>
      </c>
      <c r="C54" s="19">
        <v>52</v>
      </c>
      <c r="D54" s="25">
        <f t="shared" si="1"/>
        <v>46216</v>
      </c>
      <c r="E54" s="18">
        <f t="shared" ca="1" si="7"/>
        <v>97626.830000000104</v>
      </c>
      <c r="F54" s="46">
        <f t="shared" ca="1" si="8"/>
        <v>48813.42</v>
      </c>
      <c r="G54" s="45">
        <f t="shared" ca="1" si="9"/>
        <v>54671.030400000003</v>
      </c>
      <c r="H54" s="26">
        <f t="shared" ca="1" si="5"/>
        <v>5857.610400000005</v>
      </c>
      <c r="I54" s="26">
        <f t="shared" ca="1" si="6"/>
        <v>103484.44040000011</v>
      </c>
      <c r="J54" s="6" t="str">
        <f t="shared" ca="1" si="10"/>
        <v>Ganó limit</v>
      </c>
    </row>
    <row r="55" spans="1:10" s="1" customFormat="1" ht="18" customHeight="1" x14ac:dyDescent="0.25">
      <c r="A55" s="27">
        <f t="shared" ca="1" si="0"/>
        <v>0.33528330113908522</v>
      </c>
      <c r="B55" s="24">
        <f t="shared" ca="1" si="4"/>
        <v>29</v>
      </c>
      <c r="C55" s="19">
        <v>53</v>
      </c>
      <c r="D55" s="25">
        <f t="shared" si="1"/>
        <v>46217</v>
      </c>
      <c r="E55" s="18">
        <f t="shared" ca="1" si="7"/>
        <v>103484.44040000011</v>
      </c>
      <c r="F55" s="46">
        <f t="shared" ca="1" si="8"/>
        <v>51742.22</v>
      </c>
      <c r="G55" s="45">
        <f t="shared" ca="1" si="9"/>
        <v>57951.286400000005</v>
      </c>
      <c r="H55" s="26">
        <f t="shared" ca="1" si="5"/>
        <v>6209.0664000000033</v>
      </c>
      <c r="I55" s="26">
        <f t="shared" ca="1" si="6"/>
        <v>109693.50680000012</v>
      </c>
      <c r="J55" s="6" t="str">
        <f t="shared" ca="1" si="10"/>
        <v>Ganó limit</v>
      </c>
    </row>
    <row r="56" spans="1:10" s="1" customFormat="1" ht="18" customHeight="1" x14ac:dyDescent="0.25">
      <c r="A56" s="27">
        <f t="shared" ca="1" si="0"/>
        <v>0.45615684929014133</v>
      </c>
      <c r="B56" s="24">
        <f t="shared" ca="1" si="4"/>
        <v>34</v>
      </c>
      <c r="C56" s="19">
        <v>54</v>
      </c>
      <c r="D56" s="25">
        <f t="shared" si="1"/>
        <v>46218</v>
      </c>
      <c r="E56" s="18">
        <f t="shared" ca="1" si="7"/>
        <v>109693.50680000012</v>
      </c>
      <c r="F56" s="46">
        <f t="shared" ca="1" si="8"/>
        <v>54846.75</v>
      </c>
      <c r="G56" s="45">
        <f t="shared" ca="1" si="9"/>
        <v>61428.360000000008</v>
      </c>
      <c r="H56" s="26">
        <f t="shared" ca="1" si="5"/>
        <v>6581.6100000000079</v>
      </c>
      <c r="I56" s="26">
        <f t="shared" ca="1" si="6"/>
        <v>116275.11680000013</v>
      </c>
      <c r="J56" s="6" t="str">
        <f t="shared" ca="1" si="10"/>
        <v>Ganó limit</v>
      </c>
    </row>
    <row r="57" spans="1:10" s="1" customFormat="1" ht="18" customHeight="1" x14ac:dyDescent="0.25">
      <c r="A57" s="27">
        <f t="shared" ca="1" si="0"/>
        <v>2.6219153901601011E-3</v>
      </c>
      <c r="B57" s="24">
        <f t="shared" ca="1" si="4"/>
        <v>1</v>
      </c>
      <c r="C57" s="19">
        <v>55</v>
      </c>
      <c r="D57" s="25">
        <f t="shared" si="1"/>
        <v>46219</v>
      </c>
      <c r="E57" s="18">
        <f t="shared" ca="1" si="7"/>
        <v>116275.11680000013</v>
      </c>
      <c r="F57" s="46">
        <f t="shared" ca="1" si="8"/>
        <v>58137.56</v>
      </c>
      <c r="G57" s="45">
        <f t="shared" ca="1" si="9"/>
        <v>65114.067200000005</v>
      </c>
      <c r="H57" s="26">
        <f t="shared" ca="1" si="5"/>
        <v>6976.5072000000073</v>
      </c>
      <c r="I57" s="26">
        <f t="shared" ca="1" si="6"/>
        <v>123251.62400000014</v>
      </c>
      <c r="J57" s="6" t="str">
        <f t="shared" ca="1" si="10"/>
        <v>Ganó limit</v>
      </c>
    </row>
    <row r="58" spans="1:10" s="1" customFormat="1" ht="18" customHeight="1" x14ac:dyDescent="0.25">
      <c r="A58" s="27">
        <f t="shared" ca="1" si="0"/>
        <v>0.81204953834596083</v>
      </c>
      <c r="B58" s="24">
        <f t="shared" ca="1" si="4"/>
        <v>49</v>
      </c>
      <c r="C58" s="19">
        <v>56</v>
      </c>
      <c r="D58" s="25">
        <f t="shared" si="1"/>
        <v>46220</v>
      </c>
      <c r="E58" s="18">
        <f t="shared" ca="1" si="7"/>
        <v>123251.62400000014</v>
      </c>
      <c r="F58" s="46">
        <f t="shared" ca="1" si="8"/>
        <v>61625.81</v>
      </c>
      <c r="G58" s="45">
        <f t="shared" ca="1" si="9"/>
        <v>69020.907200000001</v>
      </c>
      <c r="H58" s="26">
        <f t="shared" ca="1" si="5"/>
        <v>7395.0972000000038</v>
      </c>
      <c r="I58" s="26">
        <f t="shared" ca="1" si="6"/>
        <v>130646.72120000015</v>
      </c>
      <c r="J58" s="6" t="str">
        <f t="shared" ca="1" si="10"/>
        <v>Ganó limit</v>
      </c>
    </row>
    <row r="59" spans="1:10" s="1" customFormat="1" ht="18" customHeight="1" x14ac:dyDescent="0.25">
      <c r="A59" s="27">
        <f t="shared" ca="1" si="0"/>
        <v>0.65926992961202913</v>
      </c>
      <c r="B59" s="24">
        <f t="shared" ca="1" si="4"/>
        <v>43</v>
      </c>
      <c r="C59" s="19">
        <v>57</v>
      </c>
      <c r="D59" s="25">
        <f t="shared" si="1"/>
        <v>46223</v>
      </c>
      <c r="E59" s="18">
        <f t="shared" ca="1" si="7"/>
        <v>130646.72120000015</v>
      </c>
      <c r="F59" s="46">
        <f t="shared" ca="1" si="8"/>
        <v>65323.360000000001</v>
      </c>
      <c r="G59" s="45">
        <f t="shared" ca="1" si="9"/>
        <v>73162.16320000001</v>
      </c>
      <c r="H59" s="26">
        <f t="shared" ca="1" si="5"/>
        <v>7838.8032000000094</v>
      </c>
      <c r="I59" s="26">
        <f t="shared" ca="1" si="6"/>
        <v>138485.52440000017</v>
      </c>
      <c r="J59" s="6" t="str">
        <f t="shared" ca="1" si="10"/>
        <v>Ganó limit</v>
      </c>
    </row>
    <row r="60" spans="1:10" ht="18" customHeight="1" x14ac:dyDescent="0.25">
      <c r="A60" s="28">
        <f ca="1">RAND()</f>
        <v>0.16564453908923793</v>
      </c>
      <c r="B60" s="29">
        <f t="shared" ca="1" si="4"/>
        <v>9</v>
      </c>
      <c r="C60" s="30">
        <v>58</v>
      </c>
      <c r="D60" s="31">
        <f>WORKDAY($L$2,C60-1)</f>
        <v>46224</v>
      </c>
      <c r="E60" s="18">
        <f t="shared" ca="1" si="7"/>
        <v>138485.52440000017</v>
      </c>
      <c r="F60" s="46">
        <f t="shared" ca="1" si="8"/>
        <v>69242.759999999995</v>
      </c>
      <c r="G60" s="45">
        <f t="shared" ca="1" si="9"/>
        <v>77551.891199999998</v>
      </c>
      <c r="H60" s="26">
        <f t="shared" ca="1" si="5"/>
        <v>8309.1312000000034</v>
      </c>
      <c r="I60" s="26">
        <f t="shared" ca="1" si="6"/>
        <v>146794.65560000017</v>
      </c>
      <c r="J60" s="6" t="str">
        <f t="shared" ca="1" si="10"/>
        <v>Ganó limit</v>
      </c>
    </row>
    <row r="61" spans="1:10" x14ac:dyDescent="0.35">
      <c r="E61"/>
      <c r="F61"/>
      <c r="G61"/>
      <c r="H61" s="3"/>
      <c r="I61"/>
      <c r="J61"/>
    </row>
  </sheetData>
  <mergeCells count="3">
    <mergeCell ref="A1:I1"/>
    <mergeCell ref="K1:P1"/>
    <mergeCell ref="K12:L12"/>
  </mergeCells>
  <conditionalFormatting sqref="C1 D1:D1048576">
    <cfRule type="cellIs" dxfId="15" priority="8" operator="equal">
      <formula>TODAY()</formula>
    </cfRule>
  </conditionalFormatting>
  <conditionalFormatting sqref="E3:E60">
    <cfRule type="expression" dxfId="14" priority="7">
      <formula>E3&lt;E2</formula>
    </cfRule>
  </conditionalFormatting>
  <conditionalFormatting sqref="G3:G60">
    <cfRule type="containsText" dxfId="13" priority="13" operator="containsText" text="WIN"/>
    <cfRule type="containsText" dxfId="12" priority="14" operator="containsText" text="LOSS"/>
  </conditionalFormatting>
  <conditionalFormatting sqref="H3:H60 H62:H1048576">
    <cfRule type="cellIs" dxfId="11" priority="9" operator="lessThan">
      <formula>0</formula>
    </cfRule>
    <cfRule type="cellIs" dxfId="10" priority="10" operator="greaterThan">
      <formula>0</formula>
    </cfRule>
  </conditionalFormatting>
  <conditionalFormatting sqref="H3:H60">
    <cfRule type="cellIs" dxfId="9" priority="15" operator="lessThan">
      <formula>0</formula>
    </cfRule>
    <cfRule type="cellIs" dxfId="8" priority="16" operator="greaterThan">
      <formula>0</formula>
    </cfRule>
  </conditionalFormatting>
  <conditionalFormatting sqref="I3:I60">
    <cfRule type="dataBar" priority="17">
      <dataBar>
        <cfvo type="min"/>
        <cfvo type="max"/>
        <color rgb="FF60A5FA"/>
      </dataBar>
    </cfRule>
    <cfRule type="dataBar" priority="18">
      <dataBar>
        <cfvo type="min"/>
        <cfvo type="max"/>
        <color rgb="FF60A5FA"/>
      </dataBar>
      <extLst>
        <ext xmlns:x14="http://schemas.microsoft.com/office/spreadsheetml/2009/9/main" uri="{B025F937-C7B1-47D3-B67F-A62EFF666E3E}">
          <x14:id>{59679F3F-F213-406A-AA1B-715023C7541E}</x14:id>
        </ext>
      </extLst>
    </cfRule>
  </conditionalFormatting>
  <conditionalFormatting sqref="K4 K7">
    <cfRule type="cellIs" dxfId="7" priority="11" operator="lessThan">
      <formula>$K$3</formula>
    </cfRule>
    <cfRule type="cellIs" dxfId="6" priority="12" operator="greaterThan">
      <formula>$K$3</formula>
    </cfRule>
  </conditionalFormatting>
  <conditionalFormatting sqref="K5">
    <cfRule type="cellIs" dxfId="5" priority="3" operator="lessThan">
      <formula>0</formula>
    </cfRule>
    <cfRule type="cellIs" dxfId="4" priority="4" operator="greaterThan">
      <formula>0</formula>
    </cfRule>
  </conditionalFormatting>
  <conditionalFormatting sqref="O8">
    <cfRule type="cellIs" dxfId="3" priority="5" operator="lessThan">
      <formula>$M$7</formula>
    </cfRule>
  </conditionalFormatting>
  <conditionalFormatting sqref="O9">
    <cfRule type="cellIs" dxfId="2" priority="6" operator="greaterThan">
      <formula>0+$M$7</formula>
    </cfRule>
  </conditionalFormatting>
  <conditionalFormatting sqref="H61">
    <cfRule type="cellIs" dxfId="1" priority="2" operator="equal">
      <formula>TODAY()</formula>
    </cfRule>
  </conditionalFormatting>
  <conditionalFormatting sqref="M8:M9">
    <cfRule type="expression" dxfId="0" priority="1">
      <formula>M8&lt;M7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679F3F-F213-406A-AA1B-715023C7541E}">
            <x14:dataBar>
              <x14:cfvo type="min"/>
              <x14:cfvo type="max"/>
              <x14:negativeFillColor auto="1"/>
              <x14:axisColor auto="1"/>
            </x14:dataBar>
          </x14:cfRule>
          <xm:sqref>I3:I60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4</vt:i4>
      </vt:variant>
    </vt:vector>
  </HeadingPairs>
  <TitlesOfParts>
    <vt:vector size="6" baseType="lpstr">
      <vt:lpstr>Estrategias</vt:lpstr>
      <vt:lpstr>IC</vt:lpstr>
      <vt:lpstr>Estrategias!Fechas_2026</vt:lpstr>
      <vt:lpstr>IC!Fechas_2026</vt:lpstr>
      <vt:lpstr>Estrategias!Valores_2026</vt:lpstr>
      <vt:lpstr>IC!Valores_2026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Finol</cp:lastModifiedBy>
  <dcterms:modified xsi:type="dcterms:W3CDTF">2026-04-30T02:26:59Z</dcterms:modified>
</cp:coreProperties>
</file>