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lejandroFinol\Downloads\"/>
    </mc:Choice>
  </mc:AlternateContent>
  <xr:revisionPtr revIDLastSave="0" documentId="13_ncr:1_{2AB33C15-CFDB-4788-9180-1203ECD3ABF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strategias" sheetId="1" r:id="rId1"/>
    <sheet name="IC" sheetId="2" r:id="rId2"/>
    <sheet name="Lista de Activos" sheetId="3" r:id="rId3"/>
    <sheet name="Wall Street Dashboard" sheetId="4" r:id="rId4"/>
  </sheets>
  <definedNames>
    <definedName name="_xlnm._FilterDatabase" localSheetId="2" hidden="1">'Lista de Activos'!$A$3:$H$53</definedName>
    <definedName name="DTE">'Wall Street Dashboard'!$C$53</definedName>
    <definedName name="Fechas_2026" localSheetId="0">Estrategias!$D$2:$D$59</definedName>
    <definedName name="Fechas_2026" localSheetId="1">IC!$D$2:$D$59</definedName>
    <definedName name="Paccion">'Wall Street Dashboard'!$C$51</definedName>
    <definedName name="Strike">'Wall Street Dashboard'!$C$52</definedName>
    <definedName name="Tasar">'Wall Street Dashboard'!$C$54</definedName>
    <definedName name="Valores_2026" localSheetId="0">Estrategias!$F$2:$F$59</definedName>
    <definedName name="Valores_2026" localSheetId="1">IC!$F$2:$F$59</definedName>
    <definedName name="Volatilidad">'Wall Street Dashboard'!$C$55</definedName>
  </definedNames>
  <calcPr calcId="191029"/>
</workbook>
</file>

<file path=xl/calcChain.xml><?xml version="1.0" encoding="utf-8"?>
<calcChain xmlns="http://schemas.openxmlformats.org/spreadsheetml/2006/main">
  <c r="C55" i="4" l="1"/>
  <c r="C54" i="4"/>
  <c r="C53" i="4"/>
  <c r="C57" i="4" s="1"/>
  <c r="C52" i="4"/>
  <c r="H17" i="4" s="1"/>
  <c r="C51" i="4"/>
  <c r="L14" i="4"/>
  <c r="J14" i="4"/>
  <c r="M9" i="2"/>
  <c r="M8" i="2"/>
  <c r="E3" i="1"/>
  <c r="F3" i="1" s="1"/>
  <c r="L16" i="2"/>
  <c r="L17" i="2" s="1"/>
  <c r="D4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A4" i="2"/>
  <c r="E3" i="2"/>
  <c r="F3" i="2" s="1"/>
  <c r="D3" i="2"/>
  <c r="A3" i="2"/>
  <c r="D5" i="1"/>
  <c r="D60" i="1"/>
  <c r="A60" i="1"/>
  <c r="D59" i="1"/>
  <c r="A59" i="1"/>
  <c r="D58" i="1"/>
  <c r="A58" i="1"/>
  <c r="D57" i="1"/>
  <c r="A57" i="1"/>
  <c r="D56" i="1"/>
  <c r="A56" i="1"/>
  <c r="D55" i="1"/>
  <c r="A55" i="1"/>
  <c r="D54" i="1"/>
  <c r="A54" i="1"/>
  <c r="D53" i="1"/>
  <c r="A53" i="1"/>
  <c r="D52" i="1"/>
  <c r="A52" i="1"/>
  <c r="D51" i="1"/>
  <c r="A51" i="1"/>
  <c r="D50" i="1"/>
  <c r="A50" i="1"/>
  <c r="D49" i="1"/>
  <c r="A49" i="1"/>
  <c r="D48" i="1"/>
  <c r="A48" i="1"/>
  <c r="D47" i="1"/>
  <c r="A47" i="1"/>
  <c r="D46" i="1"/>
  <c r="A46" i="1"/>
  <c r="D45" i="1"/>
  <c r="A45" i="1"/>
  <c r="D44" i="1"/>
  <c r="A44" i="1"/>
  <c r="D43" i="1"/>
  <c r="A43" i="1"/>
  <c r="D42" i="1"/>
  <c r="A42" i="1"/>
  <c r="D41" i="1"/>
  <c r="A41" i="1"/>
  <c r="D40" i="1"/>
  <c r="A40" i="1"/>
  <c r="D39" i="1"/>
  <c r="A39" i="1"/>
  <c r="D38" i="1"/>
  <c r="A38" i="1"/>
  <c r="D37" i="1"/>
  <c r="A37" i="1"/>
  <c r="D36" i="1"/>
  <c r="A36" i="1"/>
  <c r="D35" i="1"/>
  <c r="A35" i="1"/>
  <c r="D34" i="1"/>
  <c r="A34" i="1"/>
  <c r="D33" i="1"/>
  <c r="A33" i="1"/>
  <c r="D32" i="1"/>
  <c r="A32" i="1"/>
  <c r="D31" i="1"/>
  <c r="A31" i="1"/>
  <c r="D30" i="1"/>
  <c r="A30" i="1"/>
  <c r="D29" i="1"/>
  <c r="A29" i="1"/>
  <c r="D28" i="1"/>
  <c r="A28" i="1"/>
  <c r="D27" i="1"/>
  <c r="A27" i="1"/>
  <c r="D26" i="1"/>
  <c r="A26" i="1"/>
  <c r="D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L16" i="1"/>
  <c r="L17" i="1" s="1"/>
  <c r="D16" i="1"/>
  <c r="A16" i="1"/>
  <c r="D15" i="1"/>
  <c r="A15" i="1"/>
  <c r="D14" i="1"/>
  <c r="A14" i="1"/>
  <c r="D13" i="1"/>
  <c r="A13" i="1"/>
  <c r="D12" i="1"/>
  <c r="A12" i="1"/>
  <c r="D11" i="1"/>
  <c r="A11" i="1"/>
  <c r="D10" i="1"/>
  <c r="A10" i="1"/>
  <c r="D9" i="1"/>
  <c r="A9" i="1"/>
  <c r="D8" i="1"/>
  <c r="A8" i="1"/>
  <c r="D7" i="1"/>
  <c r="A7" i="1"/>
  <c r="D6" i="1"/>
  <c r="A6" i="1"/>
  <c r="A5" i="1"/>
  <c r="D4" i="1"/>
  <c r="A4" i="1"/>
  <c r="D3" i="1"/>
  <c r="A3" i="1"/>
  <c r="J17" i="4" l="1"/>
  <c r="C58" i="4"/>
  <c r="C59" i="4" s="1"/>
  <c r="C61" i="4" s="1"/>
  <c r="B9" i="2"/>
  <c r="B15" i="2"/>
  <c r="B5" i="2"/>
  <c r="B19" i="2"/>
  <c r="B11" i="2"/>
  <c r="B17" i="2"/>
  <c r="B7" i="2"/>
  <c r="B25" i="2"/>
  <c r="B55" i="2"/>
  <c r="B20" i="2"/>
  <c r="B26" i="2"/>
  <c r="B32" i="2"/>
  <c r="B38" i="2"/>
  <c r="B44" i="2"/>
  <c r="B50" i="2"/>
  <c r="B56" i="2"/>
  <c r="B49" i="2"/>
  <c r="B12" i="2"/>
  <c r="B57" i="2"/>
  <c r="B3" i="2"/>
  <c r="G3" i="2" s="1"/>
  <c r="J3" i="2" s="1"/>
  <c r="B37" i="2"/>
  <c r="B27" i="2"/>
  <c r="B39" i="2"/>
  <c r="B51" i="2"/>
  <c r="B22" i="2"/>
  <c r="B28" i="2"/>
  <c r="B34" i="2"/>
  <c r="B40" i="2"/>
  <c r="B46" i="2"/>
  <c r="B52" i="2"/>
  <c r="B58" i="2"/>
  <c r="B31" i="2"/>
  <c r="B16" i="2"/>
  <c r="B6" i="2"/>
  <c r="B33" i="2"/>
  <c r="B45" i="2"/>
  <c r="B13" i="2"/>
  <c r="B23" i="2"/>
  <c r="B29" i="2"/>
  <c r="B35" i="2"/>
  <c r="B41" i="2"/>
  <c r="B47" i="2"/>
  <c r="B53" i="2"/>
  <c r="B59" i="2"/>
  <c r="B43" i="2"/>
  <c r="B4" i="2"/>
  <c r="B18" i="2"/>
  <c r="B24" i="2"/>
  <c r="B30" i="2"/>
  <c r="B36" i="2"/>
  <c r="B42" i="2"/>
  <c r="B48" i="2"/>
  <c r="B54" i="2"/>
  <c r="B60" i="2"/>
  <c r="B21" i="2"/>
  <c r="B10" i="2"/>
  <c r="B14" i="2"/>
  <c r="B8" i="2"/>
  <c r="B26" i="1"/>
  <c r="B32" i="1"/>
  <c r="B38" i="1"/>
  <c r="B20" i="1"/>
  <c r="B10" i="1"/>
  <c r="B41" i="1"/>
  <c r="B15" i="1"/>
  <c r="B44" i="1"/>
  <c r="B56" i="1"/>
  <c r="B16" i="1"/>
  <c r="B27" i="1"/>
  <c r="B39" i="1"/>
  <c r="B50" i="1"/>
  <c r="B51" i="1"/>
  <c r="B11" i="1"/>
  <c r="B28" i="1"/>
  <c r="B46" i="1"/>
  <c r="B52" i="1"/>
  <c r="B58" i="1"/>
  <c r="B40" i="1"/>
  <c r="B23" i="1"/>
  <c r="B35" i="1"/>
  <c r="B34" i="1"/>
  <c r="B7" i="1"/>
  <c r="B47" i="1"/>
  <c r="B59" i="1"/>
  <c r="B22" i="1"/>
  <c r="B18" i="1"/>
  <c r="B24" i="1"/>
  <c r="B30" i="1"/>
  <c r="B36" i="1"/>
  <c r="B12" i="1"/>
  <c r="B42" i="1"/>
  <c r="B60" i="1"/>
  <c r="B14" i="1"/>
  <c r="B19" i="1"/>
  <c r="B31" i="1"/>
  <c r="B48" i="1"/>
  <c r="B54" i="1"/>
  <c r="B43" i="1"/>
  <c r="B55" i="1"/>
  <c r="B3" i="1"/>
  <c r="B17" i="1"/>
  <c r="B21" i="1"/>
  <c r="B25" i="1"/>
  <c r="B29" i="1"/>
  <c r="B37" i="1"/>
  <c r="B45" i="1"/>
  <c r="B33" i="1"/>
  <c r="B57" i="1"/>
  <c r="B49" i="1"/>
  <c r="B53" i="1"/>
  <c r="B6" i="1"/>
  <c r="B13" i="1"/>
  <c r="B5" i="1"/>
  <c r="B9" i="1"/>
  <c r="B4" i="1"/>
  <c r="B8" i="1"/>
  <c r="C66" i="4" l="1"/>
  <c r="C68" i="4"/>
  <c r="H14" i="4" s="1"/>
  <c r="M26" i="4" s="1"/>
  <c r="C63" i="4"/>
  <c r="F11" i="4" s="1"/>
  <c r="M22" i="4" s="1"/>
  <c r="C64" i="4"/>
  <c r="F14" i="4" s="1"/>
  <c r="M23" i="4" s="1"/>
  <c r="C65" i="4"/>
  <c r="F17" i="4" s="1"/>
  <c r="M24" i="4" s="1"/>
  <c r="D11" i="4"/>
  <c r="F8" i="4"/>
  <c r="C67" i="4"/>
  <c r="H11" i="4" s="1"/>
  <c r="M25" i="4" s="1"/>
  <c r="H8" i="4"/>
  <c r="G3" i="1"/>
  <c r="D14" i="4" l="1"/>
  <c r="L17" i="4"/>
  <c r="H3" i="1"/>
  <c r="I3" i="1" s="1"/>
  <c r="J3" i="1"/>
  <c r="H3" i="2"/>
  <c r="I3" i="2" s="1"/>
  <c r="E4" i="2" s="1"/>
  <c r="F4" i="2" s="1"/>
  <c r="G4" i="2" s="1"/>
  <c r="J4" i="2" s="1"/>
  <c r="E4" i="1" l="1"/>
  <c r="F4" i="1" s="1"/>
  <c r="G4" i="1" s="1"/>
  <c r="H4" i="2"/>
  <c r="I4" i="2" s="1"/>
  <c r="E5" i="2" s="1"/>
  <c r="J4" i="1" l="1"/>
  <c r="H4" i="1"/>
  <c r="I4" i="1" s="1"/>
  <c r="F5" i="2"/>
  <c r="G5" i="2" s="1"/>
  <c r="J5" i="2" s="1"/>
  <c r="H5" i="2" l="1"/>
  <c r="I5" i="2" s="1"/>
  <c r="E6" i="2" s="1"/>
  <c r="E5" i="1"/>
  <c r="F5" i="1" s="1"/>
  <c r="F6" i="2" l="1"/>
  <c r="G6" i="2" s="1"/>
  <c r="J6" i="2" s="1"/>
  <c r="G5" i="1"/>
  <c r="H5" i="1" s="1"/>
  <c r="H6" i="2" l="1"/>
  <c r="I6" i="2" s="1"/>
  <c r="E7" i="2" s="1"/>
  <c r="I5" i="1"/>
  <c r="E6" i="1" s="1"/>
  <c r="J5" i="1"/>
  <c r="F6" i="1" l="1"/>
  <c r="G6" i="1" s="1"/>
  <c r="H6" i="1" s="1"/>
  <c r="F7" i="2"/>
  <c r="G7" i="2" s="1"/>
  <c r="J7" i="2" s="1"/>
  <c r="H7" i="2" l="1"/>
  <c r="I7" i="2" s="1"/>
  <c r="E8" i="2" s="1"/>
  <c r="I6" i="1"/>
  <c r="J6" i="1"/>
  <c r="F8" i="2" l="1"/>
  <c r="G8" i="2" s="1"/>
  <c r="J8" i="2" s="1"/>
  <c r="E7" i="1"/>
  <c r="F7" i="1" l="1"/>
  <c r="G7" i="1" s="1"/>
  <c r="H7" i="1" s="1"/>
  <c r="H8" i="2"/>
  <c r="I8" i="2" s="1"/>
  <c r="E9" i="2" s="1"/>
  <c r="F9" i="2" l="1"/>
  <c r="G9" i="2" s="1"/>
  <c r="J9" i="2" s="1"/>
  <c r="I7" i="1"/>
  <c r="J7" i="1"/>
  <c r="H9" i="2" l="1"/>
  <c r="I9" i="2" s="1"/>
  <c r="E10" i="2" s="1"/>
  <c r="E8" i="1"/>
  <c r="F8" i="1" s="1"/>
  <c r="F10" i="2" l="1"/>
  <c r="G10" i="2" s="1"/>
  <c r="J10" i="2" s="1"/>
  <c r="G8" i="1"/>
  <c r="H8" i="1" s="1"/>
  <c r="H10" i="2" l="1"/>
  <c r="I10" i="2" s="1"/>
  <c r="E11" i="2" s="1"/>
  <c r="I8" i="1"/>
  <c r="J8" i="1"/>
  <c r="F11" i="2" l="1"/>
  <c r="G11" i="2" s="1"/>
  <c r="J11" i="2" s="1"/>
  <c r="E9" i="1"/>
  <c r="F9" i="1" s="1"/>
  <c r="H11" i="2" l="1"/>
  <c r="I11" i="2" s="1"/>
  <c r="E12" i="2" s="1"/>
  <c r="G9" i="1"/>
  <c r="H9" i="1" s="1"/>
  <c r="F12" i="2" l="1"/>
  <c r="G12" i="2" s="1"/>
  <c r="J12" i="2" s="1"/>
  <c r="I9" i="1"/>
  <c r="J9" i="1"/>
  <c r="H12" i="2" l="1"/>
  <c r="I12" i="2" s="1"/>
  <c r="E13" i="2" s="1"/>
  <c r="F13" i="2" s="1"/>
  <c r="G13" i="2" l="1"/>
  <c r="J13" i="2" s="1"/>
  <c r="E10" i="1" l="1"/>
  <c r="F10" i="1" s="1"/>
  <c r="G10" i="1" l="1"/>
  <c r="H10" i="1" s="1"/>
  <c r="I10" i="1" l="1"/>
  <c r="J10" i="1"/>
  <c r="E11" i="1"/>
  <c r="F11" i="1" s="1"/>
  <c r="G11" i="1" l="1"/>
  <c r="H11" i="1" s="1"/>
  <c r="I11" i="1" l="1"/>
  <c r="J11" i="1"/>
  <c r="E12" i="1"/>
  <c r="F12" i="1" s="1"/>
  <c r="G12" i="1" l="1"/>
  <c r="H12" i="1" s="1"/>
  <c r="I12" i="1" l="1"/>
  <c r="J12" i="1"/>
  <c r="E13" i="1"/>
  <c r="F13" i="1" s="1"/>
  <c r="G13" i="1" l="1"/>
  <c r="H13" i="1" s="1"/>
  <c r="I13" i="1" l="1"/>
  <c r="E14" i="1" s="1"/>
  <c r="F14" i="1" s="1"/>
  <c r="J13" i="1"/>
  <c r="G14" i="1" l="1"/>
  <c r="H14" i="1" s="1"/>
  <c r="I14" i="1" l="1"/>
  <c r="J14" i="1"/>
  <c r="E15" i="1"/>
  <c r="F15" i="1" s="1"/>
  <c r="G15" i="1" l="1"/>
  <c r="H15" i="1" s="1"/>
  <c r="I15" i="1" l="1"/>
  <c r="J15" i="1"/>
  <c r="E16" i="1"/>
  <c r="F16" i="1" s="1"/>
  <c r="G16" i="1" l="1"/>
  <c r="H16" i="1" s="1"/>
  <c r="I16" i="1" l="1"/>
  <c r="E17" i="1" s="1"/>
  <c r="F17" i="1" s="1"/>
  <c r="J16" i="1"/>
  <c r="G17" i="1" l="1"/>
  <c r="H17" i="1" s="1"/>
  <c r="I17" i="1" l="1"/>
  <c r="J17" i="1"/>
  <c r="E18" i="1"/>
  <c r="F18" i="1" s="1"/>
  <c r="G18" i="1" l="1"/>
  <c r="H18" i="1" s="1"/>
  <c r="I18" i="1" l="1"/>
  <c r="E19" i="1" s="1"/>
  <c r="F19" i="1" s="1"/>
  <c r="J18" i="1"/>
  <c r="G19" i="1" l="1"/>
  <c r="H19" i="1" s="1"/>
  <c r="I19" i="1" l="1"/>
  <c r="J19" i="1"/>
  <c r="E20" i="1"/>
  <c r="F20" i="1" s="1"/>
  <c r="G20" i="1" l="1"/>
  <c r="H20" i="1" s="1"/>
  <c r="I20" i="1" l="1"/>
  <c r="J20" i="1"/>
  <c r="E21" i="1"/>
  <c r="F21" i="1" s="1"/>
  <c r="G21" i="1" l="1"/>
  <c r="H21" i="1" s="1"/>
  <c r="I21" i="1" l="1"/>
  <c r="E22" i="1" s="1"/>
  <c r="F22" i="1" s="1"/>
  <c r="J21" i="1"/>
  <c r="G22" i="1" l="1"/>
  <c r="H22" i="1" s="1"/>
  <c r="I22" i="1" l="1"/>
  <c r="J22" i="1"/>
  <c r="E23" i="1"/>
  <c r="F23" i="1" s="1"/>
  <c r="G23" i="1" l="1"/>
  <c r="H23" i="1" s="1"/>
  <c r="I23" i="1" l="1"/>
  <c r="J23" i="1"/>
  <c r="E24" i="1"/>
  <c r="F24" i="1" s="1"/>
  <c r="G24" i="1" l="1"/>
  <c r="H24" i="1" s="1"/>
  <c r="I24" i="1" l="1"/>
  <c r="L13" i="1" s="1"/>
  <c r="L14" i="1" s="1"/>
  <c r="J24" i="1"/>
  <c r="E25" i="1"/>
  <c r="F25" i="1" s="1"/>
  <c r="G25" i="1" l="1"/>
  <c r="H25" i="1" s="1"/>
  <c r="I25" i="1" l="1"/>
  <c r="E26" i="1" s="1"/>
  <c r="F26" i="1" s="1"/>
  <c r="J25" i="1"/>
  <c r="G26" i="1" l="1"/>
  <c r="H26" i="1" s="1"/>
  <c r="I26" i="1" l="1"/>
  <c r="J26" i="1"/>
  <c r="E27" i="1"/>
  <c r="F27" i="1" s="1"/>
  <c r="G27" i="1" l="1"/>
  <c r="H27" i="1" s="1"/>
  <c r="I27" i="1" l="1"/>
  <c r="J27" i="1"/>
  <c r="E28" i="1"/>
  <c r="F28" i="1" s="1"/>
  <c r="G28" i="1" l="1"/>
  <c r="H28" i="1" s="1"/>
  <c r="I28" i="1" l="1"/>
  <c r="E29" i="1" s="1"/>
  <c r="F29" i="1" s="1"/>
  <c r="J28" i="1"/>
  <c r="G29" i="1" l="1"/>
  <c r="H29" i="1" s="1"/>
  <c r="I29" i="1" l="1"/>
  <c r="J29" i="1"/>
  <c r="E30" i="1"/>
  <c r="F30" i="1" s="1"/>
  <c r="G30" i="1" l="1"/>
  <c r="H30" i="1" s="1"/>
  <c r="I30" i="1" l="1"/>
  <c r="J30" i="1"/>
  <c r="E31" i="1"/>
  <c r="F31" i="1" s="1"/>
  <c r="G31" i="1" l="1"/>
  <c r="H31" i="1" s="1"/>
  <c r="I31" i="1" l="1"/>
  <c r="J31" i="1"/>
  <c r="E32" i="1"/>
  <c r="F32" i="1" s="1"/>
  <c r="G32" i="1" l="1"/>
  <c r="H32" i="1" s="1"/>
  <c r="I32" i="1" l="1"/>
  <c r="J32" i="1"/>
  <c r="E33" i="1"/>
  <c r="F33" i="1" s="1"/>
  <c r="G33" i="1" l="1"/>
  <c r="H33" i="1" s="1"/>
  <c r="I33" i="1" l="1"/>
  <c r="J33" i="1"/>
  <c r="E34" i="1"/>
  <c r="F34" i="1" s="1"/>
  <c r="G34" i="1" l="1"/>
  <c r="H34" i="1" s="1"/>
  <c r="I34" i="1" l="1"/>
  <c r="J34" i="1"/>
  <c r="E35" i="1"/>
  <c r="F35" i="1" s="1"/>
  <c r="G35" i="1" l="1"/>
  <c r="H35" i="1" s="1"/>
  <c r="I35" i="1" l="1"/>
  <c r="J35" i="1"/>
  <c r="E36" i="1"/>
  <c r="F36" i="1" s="1"/>
  <c r="G36" i="1" l="1"/>
  <c r="H36" i="1" s="1"/>
  <c r="I36" i="1" l="1"/>
  <c r="E37" i="1" s="1"/>
  <c r="F37" i="1" s="1"/>
  <c r="J36" i="1"/>
  <c r="G37" i="1" l="1"/>
  <c r="H37" i="1" s="1"/>
  <c r="I37" i="1" l="1"/>
  <c r="J37" i="1"/>
  <c r="E38" i="1"/>
  <c r="F38" i="1" s="1"/>
  <c r="G38" i="1" l="1"/>
  <c r="H38" i="1" s="1"/>
  <c r="I38" i="1" l="1"/>
  <c r="E39" i="1" s="1"/>
  <c r="F39" i="1" s="1"/>
  <c r="J38" i="1"/>
  <c r="G39" i="1" l="1"/>
  <c r="H39" i="1" s="1"/>
  <c r="I39" i="1" l="1"/>
  <c r="J39" i="1"/>
  <c r="E40" i="1"/>
  <c r="F40" i="1" s="1"/>
  <c r="G40" i="1" l="1"/>
  <c r="H40" i="1" s="1"/>
  <c r="I40" i="1" l="1"/>
  <c r="J40" i="1"/>
  <c r="E41" i="1"/>
  <c r="F41" i="1" s="1"/>
  <c r="G41" i="1" l="1"/>
  <c r="H41" i="1" s="1"/>
  <c r="I41" i="1" l="1"/>
  <c r="E42" i="1" s="1"/>
  <c r="F42" i="1" s="1"/>
  <c r="J41" i="1"/>
  <c r="G42" i="1" l="1"/>
  <c r="H42" i="1" s="1"/>
  <c r="I42" i="1" l="1"/>
  <c r="E43" i="1" s="1"/>
  <c r="F43" i="1" s="1"/>
  <c r="J42" i="1"/>
  <c r="G43" i="1" l="1"/>
  <c r="H43" i="1" s="1"/>
  <c r="I43" i="1" l="1"/>
  <c r="J43" i="1"/>
  <c r="E44" i="1"/>
  <c r="F44" i="1" s="1"/>
  <c r="G44" i="1" l="1"/>
  <c r="H44" i="1" s="1"/>
  <c r="I44" i="1" l="1"/>
  <c r="J44" i="1"/>
  <c r="E45" i="1"/>
  <c r="F45" i="1" s="1"/>
  <c r="G45" i="1" l="1"/>
  <c r="H45" i="1" s="1"/>
  <c r="I45" i="1" l="1"/>
  <c r="J45" i="1"/>
  <c r="E46" i="1"/>
  <c r="F46" i="1" s="1"/>
  <c r="G46" i="1" l="1"/>
  <c r="H46" i="1" s="1"/>
  <c r="I46" i="1" l="1"/>
  <c r="J46" i="1"/>
  <c r="E47" i="1"/>
  <c r="F47" i="1" s="1"/>
  <c r="G47" i="1" l="1"/>
  <c r="H47" i="1" s="1"/>
  <c r="I47" i="1" l="1"/>
  <c r="J47" i="1"/>
  <c r="E48" i="1"/>
  <c r="F48" i="1" s="1"/>
  <c r="G48" i="1" l="1"/>
  <c r="H48" i="1" s="1"/>
  <c r="I48" i="1" l="1"/>
  <c r="J48" i="1"/>
  <c r="E49" i="1"/>
  <c r="F49" i="1" s="1"/>
  <c r="G49" i="1" l="1"/>
  <c r="H49" i="1" s="1"/>
  <c r="I49" i="1" l="1"/>
  <c r="E50" i="1" s="1"/>
  <c r="F50" i="1" s="1"/>
  <c r="J49" i="1"/>
  <c r="G50" i="1" l="1"/>
  <c r="H50" i="1" s="1"/>
  <c r="I50" i="1" l="1"/>
  <c r="J50" i="1"/>
  <c r="E51" i="1"/>
  <c r="F51" i="1" s="1"/>
  <c r="G51" i="1" l="1"/>
  <c r="H51" i="1" s="1"/>
  <c r="I51" i="1" l="1"/>
  <c r="E52" i="1" s="1"/>
  <c r="F52" i="1" s="1"/>
  <c r="J51" i="1"/>
  <c r="G52" i="1" l="1"/>
  <c r="H52" i="1" s="1"/>
  <c r="I52" i="1" l="1"/>
  <c r="J52" i="1"/>
  <c r="E53" i="1"/>
  <c r="F53" i="1" s="1"/>
  <c r="G53" i="1" l="1"/>
  <c r="H53" i="1" s="1"/>
  <c r="I53" i="1" l="1"/>
  <c r="J53" i="1"/>
  <c r="E54" i="1"/>
  <c r="F54" i="1" s="1"/>
  <c r="G54" i="1" l="1"/>
  <c r="H54" i="1" s="1"/>
  <c r="I54" i="1" l="1"/>
  <c r="J54" i="1"/>
  <c r="E55" i="1"/>
  <c r="F55" i="1" s="1"/>
  <c r="G55" i="1" l="1"/>
  <c r="H55" i="1" s="1"/>
  <c r="I55" i="1" l="1"/>
  <c r="J55" i="1"/>
  <c r="E56" i="1"/>
  <c r="F56" i="1" s="1"/>
  <c r="G56" i="1" l="1"/>
  <c r="H56" i="1" s="1"/>
  <c r="I56" i="1" l="1"/>
  <c r="J56" i="1"/>
  <c r="E57" i="1"/>
  <c r="F57" i="1" s="1"/>
  <c r="G57" i="1" l="1"/>
  <c r="H57" i="1" s="1"/>
  <c r="I57" i="1" l="1"/>
  <c r="J57" i="1"/>
  <c r="E58" i="1"/>
  <c r="F58" i="1" s="1"/>
  <c r="G58" i="1" l="1"/>
  <c r="H58" i="1" s="1"/>
  <c r="I58" i="1" l="1"/>
  <c r="J58" i="1"/>
  <c r="E59" i="1"/>
  <c r="F59" i="1" s="1"/>
  <c r="G59" i="1" l="1"/>
  <c r="H59" i="1" s="1"/>
  <c r="I59" i="1" l="1"/>
  <c r="J59" i="1"/>
  <c r="E60" i="1"/>
  <c r="F60" i="1" s="1"/>
  <c r="G60" i="1" l="1"/>
  <c r="H60" i="1" s="1"/>
  <c r="I60" i="1" l="1"/>
  <c r="L15" i="1" s="1"/>
  <c r="J60" i="1"/>
  <c r="H13" i="2"/>
  <c r="I13" i="2" s="1"/>
  <c r="E14" i="2" s="1"/>
  <c r="F14" i="2" l="1"/>
  <c r="G14" i="2" s="1"/>
  <c r="J14" i="2" s="1"/>
  <c r="H14" i="2" l="1"/>
  <c r="I14" i="2" s="1"/>
  <c r="E15" i="2" s="1"/>
  <c r="F15" i="2" l="1"/>
  <c r="G15" i="2" s="1"/>
  <c r="J15" i="2" s="1"/>
  <c r="H15" i="2" l="1"/>
  <c r="I15" i="2" s="1"/>
  <c r="E16" i="2" s="1"/>
  <c r="F16" i="2" l="1"/>
  <c r="G16" i="2" s="1"/>
  <c r="J16" i="2" s="1"/>
  <c r="H16" i="2" l="1"/>
  <c r="I16" i="2" s="1"/>
  <c r="E17" i="2" s="1"/>
  <c r="F17" i="2" l="1"/>
  <c r="G17" i="2" s="1"/>
  <c r="J17" i="2" s="1"/>
  <c r="H17" i="2" l="1"/>
  <c r="I17" i="2" s="1"/>
  <c r="E18" i="2" s="1"/>
  <c r="F18" i="2" l="1"/>
  <c r="G18" i="2" s="1"/>
  <c r="J18" i="2" s="1"/>
  <c r="H18" i="2" l="1"/>
  <c r="I18" i="2" s="1"/>
  <c r="E19" i="2" s="1"/>
  <c r="F19" i="2" l="1"/>
  <c r="G19" i="2" s="1"/>
  <c r="J19" i="2" s="1"/>
  <c r="H19" i="2" l="1"/>
  <c r="I19" i="2" s="1"/>
  <c r="E20" i="2" s="1"/>
  <c r="F20" i="2" l="1"/>
  <c r="G20" i="2" s="1"/>
  <c r="J20" i="2" s="1"/>
  <c r="H20" i="2" l="1"/>
  <c r="I20" i="2" s="1"/>
  <c r="E21" i="2" s="1"/>
  <c r="F21" i="2" l="1"/>
  <c r="G21" i="2" s="1"/>
  <c r="J21" i="2" s="1"/>
  <c r="H21" i="2" l="1"/>
  <c r="I21" i="2" s="1"/>
  <c r="E22" i="2" s="1"/>
  <c r="F22" i="2" l="1"/>
  <c r="G22" i="2" s="1"/>
  <c r="J22" i="2" s="1"/>
  <c r="H22" i="2" l="1"/>
  <c r="I22" i="2" s="1"/>
  <c r="E23" i="2" s="1"/>
  <c r="F23" i="2" l="1"/>
  <c r="G23" i="2" s="1"/>
  <c r="J23" i="2" s="1"/>
  <c r="H23" i="2" l="1"/>
  <c r="I23" i="2" s="1"/>
  <c r="E24" i="2" s="1"/>
  <c r="F24" i="2" l="1"/>
  <c r="G24" i="2" s="1"/>
  <c r="J24" i="2" s="1"/>
  <c r="H24" i="2" l="1"/>
  <c r="I24" i="2" s="1"/>
  <c r="E25" i="2" l="1"/>
  <c r="L13" i="2"/>
  <c r="L14" i="2" s="1"/>
  <c r="F25" i="2" l="1"/>
  <c r="G25" i="2" s="1"/>
  <c r="J25" i="2" s="1"/>
  <c r="H25" i="2" l="1"/>
  <c r="I25" i="2" s="1"/>
  <c r="E26" i="2" s="1"/>
  <c r="F26" i="2" l="1"/>
  <c r="G26" i="2" s="1"/>
  <c r="J26" i="2" s="1"/>
  <c r="H26" i="2" l="1"/>
  <c r="I26" i="2" s="1"/>
  <c r="E27" i="2" s="1"/>
  <c r="F27" i="2" l="1"/>
  <c r="G27" i="2" s="1"/>
  <c r="J27" i="2" s="1"/>
  <c r="H27" i="2" l="1"/>
  <c r="I27" i="2" s="1"/>
  <c r="E28" i="2" s="1"/>
  <c r="F28" i="2" l="1"/>
  <c r="G28" i="2" s="1"/>
  <c r="J28" i="2" s="1"/>
  <c r="H28" i="2" l="1"/>
  <c r="I28" i="2" s="1"/>
  <c r="E29" i="2" s="1"/>
  <c r="F29" i="2" l="1"/>
  <c r="G29" i="2" s="1"/>
  <c r="J29" i="2" s="1"/>
  <c r="H29" i="2" l="1"/>
  <c r="I29" i="2" s="1"/>
  <c r="E30" i="2" s="1"/>
  <c r="F30" i="2" l="1"/>
  <c r="G30" i="2" s="1"/>
  <c r="J30" i="2" s="1"/>
  <c r="H30" i="2" l="1"/>
  <c r="I30" i="2" s="1"/>
  <c r="E31" i="2" s="1"/>
  <c r="F31" i="2" l="1"/>
  <c r="G31" i="2" s="1"/>
  <c r="J31" i="2" s="1"/>
  <c r="H31" i="2" l="1"/>
  <c r="I31" i="2" s="1"/>
  <c r="E32" i="2" l="1"/>
  <c r="F32" i="2" l="1"/>
  <c r="G32" i="2" s="1"/>
  <c r="J32" i="2" s="1"/>
  <c r="H32" i="2" l="1"/>
  <c r="I32" i="2" s="1"/>
  <c r="E33" i="2" s="1"/>
  <c r="F33" i="2" l="1"/>
  <c r="G33" i="2" s="1"/>
  <c r="J33" i="2" s="1"/>
  <c r="H33" i="2" l="1"/>
  <c r="I33" i="2" s="1"/>
  <c r="E34" i="2" s="1"/>
  <c r="F34" i="2" l="1"/>
  <c r="G34" i="2" s="1"/>
  <c r="J34" i="2" s="1"/>
  <c r="H34" i="2" l="1"/>
  <c r="I34" i="2" s="1"/>
  <c r="E35" i="2" s="1"/>
  <c r="F35" i="2" l="1"/>
  <c r="G35" i="2" s="1"/>
  <c r="J35" i="2" s="1"/>
  <c r="H35" i="2" l="1"/>
  <c r="I35" i="2" s="1"/>
  <c r="E36" i="2" s="1"/>
  <c r="F36" i="2" l="1"/>
  <c r="G36" i="2" s="1"/>
  <c r="J36" i="2" s="1"/>
  <c r="H36" i="2" l="1"/>
  <c r="I36" i="2" s="1"/>
  <c r="E37" i="2" s="1"/>
  <c r="F37" i="2" l="1"/>
  <c r="G37" i="2" s="1"/>
  <c r="J37" i="2" s="1"/>
  <c r="H37" i="2" l="1"/>
  <c r="I37" i="2" s="1"/>
  <c r="E38" i="2" s="1"/>
  <c r="F38" i="2" l="1"/>
  <c r="G38" i="2" s="1"/>
  <c r="J38" i="2" s="1"/>
  <c r="H38" i="2" l="1"/>
  <c r="I38" i="2" s="1"/>
  <c r="E39" i="2" s="1"/>
  <c r="F39" i="2" l="1"/>
  <c r="G39" i="2" s="1"/>
  <c r="J39" i="2" s="1"/>
  <c r="H39" i="2" l="1"/>
  <c r="I39" i="2" s="1"/>
  <c r="E40" i="2" s="1"/>
  <c r="F40" i="2" l="1"/>
  <c r="G40" i="2" s="1"/>
  <c r="J40" i="2" s="1"/>
  <c r="H40" i="2" l="1"/>
  <c r="I40" i="2" s="1"/>
  <c r="E41" i="2" s="1"/>
  <c r="F41" i="2" l="1"/>
  <c r="G41" i="2" s="1"/>
  <c r="J41" i="2" s="1"/>
  <c r="H41" i="2" l="1"/>
  <c r="I41" i="2" s="1"/>
  <c r="E42" i="2" s="1"/>
  <c r="F42" i="2" l="1"/>
  <c r="G42" i="2" s="1"/>
  <c r="J42" i="2" s="1"/>
  <c r="H42" i="2" l="1"/>
  <c r="I42" i="2" s="1"/>
  <c r="E43" i="2" s="1"/>
  <c r="F43" i="2" l="1"/>
  <c r="G43" i="2" s="1"/>
  <c r="J43" i="2" s="1"/>
  <c r="H43" i="2" l="1"/>
  <c r="I43" i="2" s="1"/>
  <c r="E44" i="2" s="1"/>
  <c r="F44" i="2" l="1"/>
  <c r="G44" i="2" s="1"/>
  <c r="J44" i="2" s="1"/>
  <c r="H44" i="2" l="1"/>
  <c r="I44" i="2" s="1"/>
  <c r="E45" i="2" s="1"/>
  <c r="F45" i="2" l="1"/>
  <c r="G45" i="2" s="1"/>
  <c r="J45" i="2" s="1"/>
  <c r="H45" i="2" l="1"/>
  <c r="I45" i="2" s="1"/>
  <c r="E46" i="2" s="1"/>
  <c r="F46" i="2" l="1"/>
  <c r="G46" i="2" s="1"/>
  <c r="J46" i="2" s="1"/>
  <c r="H46" i="2" l="1"/>
  <c r="I46" i="2" s="1"/>
  <c r="E47" i="2" l="1"/>
  <c r="F47" i="2" l="1"/>
  <c r="G47" i="2" s="1"/>
  <c r="J47" i="2" s="1"/>
  <c r="H47" i="2" l="1"/>
  <c r="I47" i="2" s="1"/>
  <c r="E48" i="2" s="1"/>
  <c r="F48" i="2" l="1"/>
  <c r="G48" i="2" s="1"/>
  <c r="J48" i="2" s="1"/>
  <c r="H48" i="2" l="1"/>
  <c r="I48" i="2" s="1"/>
  <c r="E49" i="2" s="1"/>
  <c r="F49" i="2" l="1"/>
  <c r="G49" i="2" s="1"/>
  <c r="J49" i="2" s="1"/>
  <c r="H49" i="2" l="1"/>
  <c r="I49" i="2" s="1"/>
  <c r="E50" i="2" s="1"/>
  <c r="F50" i="2" l="1"/>
  <c r="G50" i="2" s="1"/>
  <c r="J50" i="2" s="1"/>
  <c r="H50" i="2" l="1"/>
  <c r="I50" i="2" s="1"/>
  <c r="E51" i="2" s="1"/>
  <c r="F51" i="2" l="1"/>
  <c r="G51" i="2" s="1"/>
  <c r="J51" i="2" s="1"/>
  <c r="H51" i="2" l="1"/>
  <c r="I51" i="2" s="1"/>
  <c r="E52" i="2" s="1"/>
  <c r="F52" i="2" l="1"/>
  <c r="G52" i="2" s="1"/>
  <c r="J52" i="2" s="1"/>
  <c r="H52" i="2" l="1"/>
  <c r="I52" i="2" s="1"/>
  <c r="E53" i="2" s="1"/>
  <c r="F53" i="2" l="1"/>
  <c r="G53" i="2" s="1"/>
  <c r="J53" i="2" s="1"/>
  <c r="H53" i="2" l="1"/>
  <c r="I53" i="2" s="1"/>
  <c r="E54" i="2" l="1"/>
  <c r="F54" i="2" l="1"/>
  <c r="G54" i="2" s="1"/>
  <c r="J54" i="2" s="1"/>
  <c r="H54" i="2" l="1"/>
  <c r="I54" i="2" s="1"/>
  <c r="E55" i="2" s="1"/>
  <c r="F55" i="2" l="1"/>
  <c r="G55" i="2" s="1"/>
  <c r="J55" i="2" s="1"/>
  <c r="H55" i="2" l="1"/>
  <c r="I55" i="2" s="1"/>
  <c r="E56" i="2" s="1"/>
  <c r="F56" i="2" l="1"/>
  <c r="G56" i="2" s="1"/>
  <c r="J56" i="2" s="1"/>
  <c r="H56" i="2" l="1"/>
  <c r="I56" i="2" s="1"/>
  <c r="E57" i="2" s="1"/>
  <c r="F57" i="2" l="1"/>
  <c r="G57" i="2" s="1"/>
  <c r="J57" i="2" s="1"/>
  <c r="H57" i="2" l="1"/>
  <c r="I57" i="2" s="1"/>
  <c r="E58" i="2" l="1"/>
  <c r="F58" i="2" l="1"/>
  <c r="G58" i="2" s="1"/>
  <c r="J58" i="2" s="1"/>
  <c r="H58" i="2" l="1"/>
  <c r="I58" i="2" s="1"/>
  <c r="E59" i="2" s="1"/>
  <c r="F59" i="2" l="1"/>
  <c r="G59" i="2" s="1"/>
  <c r="J59" i="2" s="1"/>
  <c r="H59" i="2" l="1"/>
  <c r="I59" i="2" s="1"/>
  <c r="E60" i="2" l="1"/>
  <c r="F60" i="2" l="1"/>
  <c r="G60" i="2" s="1"/>
  <c r="J60" i="2" s="1"/>
  <c r="H60" i="2" l="1"/>
  <c r="I60" i="2" s="1"/>
  <c r="L15" i="2" s="1"/>
</calcChain>
</file>

<file path=xl/sharedStrings.xml><?xml version="1.0" encoding="utf-8"?>
<sst xmlns="http://schemas.openxmlformats.org/spreadsheetml/2006/main" count="544" uniqueCount="360">
  <si>
    <t>Simulador de crecimiento de cuenta por operación</t>
  </si>
  <si>
    <t>Premisas editables</t>
  </si>
  <si>
    <t>Rand</t>
  </si>
  <si>
    <t>Rank</t>
  </si>
  <si>
    <t># Trade</t>
  </si>
  <si>
    <t>Fecha</t>
  </si>
  <si>
    <t>Capital antes</t>
  </si>
  <si>
    <t>Resultado</t>
  </si>
  <si>
    <t>Balance</t>
  </si>
  <si>
    <t>Estado</t>
  </si>
  <si>
    <t>Fecha de Inicio</t>
  </si>
  <si>
    <t>Día de inicio de la simulación</t>
  </si>
  <si>
    <t>Consultar Fecha</t>
  </si>
  <si>
    <t>Fecha futura para estimar el balance</t>
  </si>
  <si>
    <t>Capital de Inicio</t>
  </si>
  <si>
    <t>Cuenta inicial</t>
  </si>
  <si>
    <t>% cuenta a invertir</t>
  </si>
  <si>
    <t>Ejemplo: 10% del balance actual</t>
  </si>
  <si>
    <t>Efectividad %</t>
  </si>
  <si>
    <t>Probabilidad o efectividad esperada de ganar</t>
  </si>
  <si>
    <t>Trade Price</t>
  </si>
  <si>
    <t>Precio base del contrato/strike</t>
  </si>
  <si>
    <t>Stop loss %</t>
  </si>
  <si>
    <t>Pérdida sobre lo invertido cuando falla</t>
  </si>
  <si>
    <t>Limit %</t>
  </si>
  <si>
    <t>Ganancia sobre lo invertido cuando funciona</t>
  </si>
  <si>
    <t>Trades simulados</t>
  </si>
  <si>
    <t>Número de operaciones incluidas abajo</t>
  </si>
  <si>
    <t>Resumen</t>
  </si>
  <si>
    <t>Balance esperado a fecha</t>
  </si>
  <si>
    <t>P/L estimado</t>
  </si>
  <si>
    <t>Balance final simulado</t>
  </si>
  <si>
    <t>Trades ganados</t>
  </si>
  <si>
    <t>Trades perdidos</t>
  </si>
  <si>
    <t>P/L</t>
  </si>
  <si>
    <t>Inversion</t>
  </si>
  <si>
    <t>Direxion Daily Small Cap Bear 3X Shares</t>
  </si>
  <si>
    <t>NYSE</t>
  </si>
  <si>
    <t>Financial | Exchange Traded Fund</t>
  </si>
  <si>
    <t>INDEX</t>
  </si>
  <si>
    <t>CRITERIO</t>
  </si>
  <si>
    <t>TZA</t>
  </si>
  <si>
    <t>Delta Air Lines, Inc.</t>
  </si>
  <si>
    <t>Consumer Cyclical | Travel Services</t>
  </si>
  <si>
    <t>AERONAUTICAL</t>
  </si>
  <si>
    <t>MIN $35 MAX $70</t>
  </si>
  <si>
    <t>$40 - $65</t>
  </si>
  <si>
    <t>DAL</t>
  </si>
  <si>
    <t>American Airlines Group Inc.</t>
  </si>
  <si>
    <t>Industrials | Airlines</t>
  </si>
  <si>
    <t>MIN $35 MAX $85</t>
  </si>
  <si>
    <t>$40 - $80</t>
  </si>
  <si>
    <t>AAL</t>
  </si>
  <si>
    <t>Royal Caribbean Cruises Ltd.</t>
  </si>
  <si>
    <t>CRUISES</t>
  </si>
  <si>
    <t>MIN $ 75 MAX 145</t>
  </si>
  <si>
    <t>$80 - $140</t>
  </si>
  <si>
    <t>RCL</t>
  </si>
  <si>
    <t>Carnival Corporation &amp; plc</t>
  </si>
  <si>
    <t>MIN $25 MAX $50</t>
  </si>
  <si>
    <t>$25 -$45</t>
  </si>
  <si>
    <t>CCL</t>
  </si>
  <si>
    <t>BLOQUES</t>
  </si>
  <si>
    <t>SECTORS AND INDUSTRIES</t>
  </si>
  <si>
    <t>MÍNIMO Y MÁXIMO</t>
  </si>
  <si>
    <t>RANGO ÓPTIMO</t>
  </si>
  <si>
    <t>COMPAÑÍA</t>
  </si>
  <si>
    <t>ACTIVOS - LOW COST - LISTADO DE PECIOS</t>
  </si>
  <si>
    <t>URA - Global X Uranium ETF Stock Price and Quote</t>
  </si>
  <si>
    <t>NUCLEAR ENERGY</t>
  </si>
  <si>
    <t>MIN $55 MAX $80</t>
  </si>
  <si>
    <t>$55 - $75</t>
  </si>
  <si>
    <t>URA</t>
  </si>
  <si>
    <t>The Boeing Company</t>
  </si>
  <si>
    <t>Industrials | Aerospace &amp; Defense</t>
  </si>
  <si>
    <t>INDUSTRIALS</t>
  </si>
  <si>
    <t>MIN $50 MAX $110</t>
  </si>
  <si>
    <t>$55 - $105</t>
  </si>
  <si>
    <t>BA</t>
  </si>
  <si>
    <t>Pfizer Inc.</t>
  </si>
  <si>
    <t>Healthcare | Drug Manufacturers - General</t>
  </si>
  <si>
    <t>HEALTCARE</t>
  </si>
  <si>
    <t>MIN $25 MAX $75</t>
  </si>
  <si>
    <t>$30 - $70</t>
  </si>
  <si>
    <t>PFE</t>
  </si>
  <si>
    <t>Moderna, Inc.</t>
  </si>
  <si>
    <t>NASDAQ (Tech)</t>
  </si>
  <si>
    <t>Healthcare | Biotechnology</t>
  </si>
  <si>
    <t>MIN $60 MAX $105</t>
  </si>
  <si>
    <t>$65 - $100</t>
  </si>
  <si>
    <t>MRNA</t>
  </si>
  <si>
    <t>CVS Health Corporation</t>
  </si>
  <si>
    <t>Healthcare | Healthcare Plans</t>
  </si>
  <si>
    <t>MIN $70 MAX $140</t>
  </si>
  <si>
    <t>$75 - $135</t>
  </si>
  <si>
    <t>CVS</t>
  </si>
  <si>
    <t>HOOD - Robinhood Markets Inc Stock Price and Quote</t>
  </si>
  <si>
    <t>Financial | Financial Data &amp; Stock Exchanges</t>
  </si>
  <si>
    <t>FINANCIAL / DATA</t>
  </si>
  <si>
    <t>MIN $60 MAX $ 95</t>
  </si>
  <si>
    <t>$60 - $90</t>
  </si>
  <si>
    <t>HOOD</t>
  </si>
  <si>
    <t>Coinbase Global, Inc.</t>
  </si>
  <si>
    <t>MIN $65 MAX $130</t>
  </si>
  <si>
    <t>$70 - $125</t>
  </si>
  <si>
    <t>COIN</t>
  </si>
  <si>
    <t>United States Oil Fund, LP</t>
  </si>
  <si>
    <t>COMMODITY</t>
  </si>
  <si>
    <t>MIN $30 MAX $50</t>
  </si>
  <si>
    <t>$30 - $45</t>
  </si>
  <si>
    <t>USO</t>
  </si>
  <si>
    <t>iShares Silver Trust</t>
  </si>
  <si>
    <t>MIN $25 MAX $55</t>
  </si>
  <si>
    <t>$30 - $50</t>
  </si>
  <si>
    <t>SLV</t>
  </si>
  <si>
    <t>The GDL Fund</t>
  </si>
  <si>
    <t>Financial | Closed-End Fund - Equity</t>
  </si>
  <si>
    <t>MIN $45 MAX $85</t>
  </si>
  <si>
    <t>$50 - $80</t>
  </si>
  <si>
    <t>GLD</t>
  </si>
  <si>
    <t>XPeng Inc.</t>
  </si>
  <si>
    <t>Consumer Cyclical | Auto Manufacturers</t>
  </si>
  <si>
    <t>CHINA</t>
  </si>
  <si>
    <t>MIN $55 MAX $100</t>
  </si>
  <si>
    <t>$60 - $100</t>
  </si>
  <si>
    <t>XPEV</t>
  </si>
  <si>
    <t>NIO Inc.</t>
  </si>
  <si>
    <t>$30 - $75</t>
  </si>
  <si>
    <t>NIO</t>
  </si>
  <si>
    <t>Li Auto Inc.</t>
  </si>
  <si>
    <t>MIN $35 MAX $75</t>
  </si>
  <si>
    <t>$40 - $70</t>
  </si>
  <si>
    <t>LI</t>
  </si>
  <si>
    <t>Alibaba Group Holding Limited</t>
  </si>
  <si>
    <t>Consumer Cyclical | Internet Retrail</t>
  </si>
  <si>
    <t>MIN $40 MAX $85</t>
  </si>
  <si>
    <t>BABA</t>
  </si>
  <si>
    <t>Visa Inc.</t>
  </si>
  <si>
    <t>Financial | Credit Services</t>
  </si>
  <si>
    <t>CARDS</t>
  </si>
  <si>
    <t>MIN $70 MAX $185</t>
  </si>
  <si>
    <t>$75 - $180</t>
  </si>
  <si>
    <t>V</t>
  </si>
  <si>
    <t>PayPal Holdings, Inc.</t>
  </si>
  <si>
    <t>MIN $25 MAX $65</t>
  </si>
  <si>
    <t>$30 - $60</t>
  </si>
  <si>
    <t>PYPL</t>
  </si>
  <si>
    <t>Mastercard Incorporated</t>
  </si>
  <si>
    <t>MIN $95 MAX $180</t>
  </si>
  <si>
    <t>$100 - $175</t>
  </si>
  <si>
    <t>MA</t>
  </si>
  <si>
    <t>American Express Company</t>
  </si>
  <si>
    <t>MIN $100 MAX $240</t>
  </si>
  <si>
    <t>$100 - $240</t>
  </si>
  <si>
    <t>AXP</t>
  </si>
  <si>
    <t>Direxion Daily Small Cap Bull 3X Shares</t>
  </si>
  <si>
    <t>FINANCIAL / EXCHANGE</t>
  </si>
  <si>
    <t>TNA</t>
  </si>
  <si>
    <t>iShares Russell 2000 ETF</t>
  </si>
  <si>
    <t>IWM</t>
  </si>
  <si>
    <t>SPDR S&amp;P 500 ETF Trust</t>
  </si>
  <si>
    <t>INDEX - USA</t>
  </si>
  <si>
    <t>SPY</t>
  </si>
  <si>
    <t>Invesco QQQ Trust</t>
  </si>
  <si>
    <t>QQQ</t>
  </si>
  <si>
    <t>SPDR Dow Jones Industrial Average ETF Trust</t>
  </si>
  <si>
    <t>MIN $45 MAX $115</t>
  </si>
  <si>
    <t>$50 - $110</t>
  </si>
  <si>
    <t>DIA</t>
  </si>
  <si>
    <t>Walmart Inc.</t>
  </si>
  <si>
    <t>Consumer Defensive | Discount Stores</t>
  </si>
  <si>
    <t>CONSUMER</t>
  </si>
  <si>
    <t>MIN $55 MAX $115</t>
  </si>
  <si>
    <t>$60 - $110</t>
  </si>
  <si>
    <t>WMT</t>
  </si>
  <si>
    <t>Lowe's Companies, Inc.</t>
  </si>
  <si>
    <t>Consumer Cyclical | Home Improvement Retail</t>
  </si>
  <si>
    <t>MIN $75 MAX $155</t>
  </si>
  <si>
    <t>$75 - $150</t>
  </si>
  <si>
    <t>LOW</t>
  </si>
  <si>
    <t>The Home Depot, Inc.</t>
  </si>
  <si>
    <t>MIN $100 MAX $190</t>
  </si>
  <si>
    <t>$110 - $190</t>
  </si>
  <si>
    <t>HD</t>
  </si>
  <si>
    <t>Uber Technologies, Inc.</t>
  </si>
  <si>
    <t>Technology | Software - Application</t>
  </si>
  <si>
    <t>SOFTWARE - APP</t>
  </si>
  <si>
    <t>MIN $40 MAX $90</t>
  </si>
  <si>
    <t>$45 - $85</t>
  </si>
  <si>
    <t>UBER</t>
  </si>
  <si>
    <t>Lyft, Inc.</t>
  </si>
  <si>
    <t>$25 - $50</t>
  </si>
  <si>
    <t>LYFT</t>
  </si>
  <si>
    <t>DoorDash, Inc.</t>
  </si>
  <si>
    <t>Communication Services | Internet Content &amp; Information</t>
  </si>
  <si>
    <t>MIN $40 MAX $135</t>
  </si>
  <si>
    <t>$40 - $130</t>
  </si>
  <si>
    <t>DASH</t>
  </si>
  <si>
    <t>SOXL - Direxion Daily Semiconductor Bull 3X Shares Stock Price and Quote</t>
  </si>
  <si>
    <t>Technology | Semiconductors</t>
  </si>
  <si>
    <t>SEMICONDUCTORS</t>
  </si>
  <si>
    <t>MIN $45 MAX $145</t>
  </si>
  <si>
    <t>$50 - $140</t>
  </si>
  <si>
    <t>SOXL</t>
  </si>
  <si>
    <t>AVGO - Broadcom Inc Stock Price and Quote</t>
  </si>
  <si>
    <t>MIN $ 65 MAX $120</t>
  </si>
  <si>
    <t>$70 - $115</t>
  </si>
  <si>
    <t>AVGO</t>
  </si>
  <si>
    <t>QCOM - Qualcomm, Inc Stock Price and Quote</t>
  </si>
  <si>
    <t>MIN $115 MAX $260</t>
  </si>
  <si>
    <t>$115 - $260</t>
  </si>
  <si>
    <t>QCOM</t>
  </si>
  <si>
    <t>NVIDIA Corporation</t>
  </si>
  <si>
    <t>MIN $60 MAX $150</t>
  </si>
  <si>
    <t>$65 - $145</t>
  </si>
  <si>
    <t>NVDA</t>
  </si>
  <si>
    <t>Micron Technology, Inc.</t>
  </si>
  <si>
    <t>MIN $55 MAX $125</t>
  </si>
  <si>
    <t>$60 - $120</t>
  </si>
  <si>
    <t>MU</t>
  </si>
  <si>
    <t>Advanced Micro Devices, Inc.</t>
  </si>
  <si>
    <t>MIN $55 MAX $120</t>
  </si>
  <si>
    <t>$60 - $115</t>
  </si>
  <si>
    <t>AMD</t>
  </si>
  <si>
    <t>PLTR - Palantir Technologies Inc Stock Price and Quote</t>
  </si>
  <si>
    <t>Technology | Software - Infrastructure</t>
  </si>
  <si>
    <t>TECHNOLOGY</t>
  </si>
  <si>
    <t>MIN $50 MAX $ 110</t>
  </si>
  <si>
    <t>$50 - $100</t>
  </si>
  <si>
    <t>PLTR</t>
  </si>
  <si>
    <t>Tesla, Inc.</t>
  </si>
  <si>
    <t>MIN $105 MAX $185</t>
  </si>
  <si>
    <t>$110 - $180</t>
  </si>
  <si>
    <t>TSLA</t>
  </si>
  <si>
    <t>Netflix, Inc.</t>
  </si>
  <si>
    <t>Communication Services | Entertainment</t>
  </si>
  <si>
    <t>MIN $50 MAX $90</t>
  </si>
  <si>
    <t>$55 - $85</t>
  </si>
  <si>
    <t>NFLX</t>
  </si>
  <si>
    <t>Microsoft Corporation</t>
  </si>
  <si>
    <t>MIN $85 MAX $180</t>
  </si>
  <si>
    <t>$90 - $175</t>
  </si>
  <si>
    <t>MSFT</t>
  </si>
  <si>
    <t>Meta Platforms, Inc.</t>
  </si>
  <si>
    <t>MIN $75 MAX $165</t>
  </si>
  <si>
    <t>$80 - $160</t>
  </si>
  <si>
    <t>META</t>
  </si>
  <si>
    <t>Alphabet Inc.</t>
  </si>
  <si>
    <t>MIN $50 MAX $125</t>
  </si>
  <si>
    <t>$55- $120</t>
  </si>
  <si>
    <t>GOOG</t>
  </si>
  <si>
    <t>Apple Inc.</t>
  </si>
  <si>
    <t>Technology | Consumer Electronics</t>
  </si>
  <si>
    <t>MIN $100 MAX $200</t>
  </si>
  <si>
    <t>$105-$200</t>
  </si>
  <si>
    <t>AAPL</t>
  </si>
  <si>
    <t>Amazon.com, Inc.</t>
  </si>
  <si>
    <t>AMZN</t>
  </si>
  <si>
    <t>BOLSA</t>
  </si>
  <si>
    <t>SECTOR / INDUSTRIA</t>
  </si>
  <si>
    <t>BLOQUE</t>
  </si>
  <si>
    <t>MÍNIMO / MÁXIMO</t>
  </si>
  <si>
    <t>TICKER</t>
  </si>
  <si>
    <t>#</t>
  </si>
  <si>
    <t>Rangos óptimos, límites de referencia, sector, bolsa y acceso directo al análisis del activo</t>
  </si>
  <si>
    <t>OPCIONES | LISTADO PROFESIONAL DE ACTIVOS</t>
  </si>
  <si>
    <t>OPTIONS PRICING COMMAND CENTER</t>
  </si>
  <si>
    <t>CALL</t>
  </si>
  <si>
    <t>MARKET INPUTS</t>
  </si>
  <si>
    <t>OPTION RESULTS / GREEKS</t>
  </si>
  <si>
    <t>INTERACTIVE SCENARIO</t>
  </si>
  <si>
    <t>UNDERLYING PRICE</t>
  </si>
  <si>
    <t>IMPLIED VOLATILITY</t>
  </si>
  <si>
    <t>PRICE</t>
  </si>
  <si>
    <t>THETA / YEAR</t>
  </si>
  <si>
    <t>PRICE MOVE %</t>
  </si>
  <si>
    <t>IV SHOCK</t>
  </si>
  <si>
    <t>STRIKE</t>
  </si>
  <si>
    <t>BREAKEVEN</t>
  </si>
  <si>
    <t>DELTA</t>
  </si>
  <si>
    <t>THETA / DAY</t>
  </si>
  <si>
    <t>DAYS FORWARD</t>
  </si>
  <si>
    <t>CONTRACTS</t>
  </si>
  <si>
    <t>DTE (DAYS)</t>
  </si>
  <si>
    <t>CONTRACT COST</t>
  </si>
  <si>
    <t>GAMMA</t>
  </si>
  <si>
    <t>RHO</t>
  </si>
  <si>
    <t>SIMULATED STOCK PRICE</t>
  </si>
  <si>
    <t>SIMULATED IV</t>
  </si>
  <si>
    <t>RISK FREE RATE</t>
  </si>
  <si>
    <t>ENGINE STATUS</t>
  </si>
  <si>
    <t>VEGA</t>
  </si>
  <si>
    <t>MONEYNESS</t>
  </si>
  <si>
    <t>EST. OPTION VALUE</t>
  </si>
  <si>
    <t>EST. P/L</t>
  </si>
  <si>
    <t>LIVE</t>
  </si>
  <si>
    <t>VISUAL SIMULATION CURVES</t>
  </si>
  <si>
    <t>Metric</t>
  </si>
  <si>
    <t>Value</t>
  </si>
  <si>
    <t>Delta</t>
  </si>
  <si>
    <t>Gamma</t>
  </si>
  <si>
    <t>Vega</t>
  </si>
  <si>
    <t>Theta Day</t>
  </si>
  <si>
    <t>Rho</t>
  </si>
  <si>
    <t>Precio actual de la accion</t>
  </si>
  <si>
    <t>Volatilidad implicita</t>
  </si>
  <si>
    <t>Precio ejercicio de la accion</t>
  </si>
  <si>
    <t>BREAKEVEN PUT</t>
  </si>
  <si>
    <t>Breakeven</t>
  </si>
  <si>
    <t>Dias de expiracion</t>
  </si>
  <si>
    <t>Costo del contrato</t>
  </si>
  <si>
    <t>Tasa de referencia del mercado</t>
  </si>
  <si>
    <t>Modelo activo</t>
  </si>
  <si>
    <t>Sensibilidad al precio - Si el activo baja 1$ se valoriza 0.28$ - (Negativo es PUT / Positivo es Call)</t>
  </si>
  <si>
    <t>Que tan rapido cambia el DELTA</t>
  </si>
  <si>
    <t>Sensibilidad a la volatilidad</t>
  </si>
  <si>
    <t>Pérdida diaria por tiempo</t>
  </si>
  <si>
    <t>Sensibilidad a tasas de interés</t>
  </si>
  <si>
    <t>ITM</t>
  </si>
  <si>
    <t>In the money</t>
  </si>
  <si>
    <t>OTM</t>
  </si>
  <si>
    <t>Out of the money</t>
  </si>
  <si>
    <t>ATM</t>
  </si>
  <si>
    <t>At the money</t>
  </si>
  <si>
    <t>Cambio del precio (Negativo baje el precio / Positivo sube el precio)</t>
  </si>
  <si>
    <t>Cambio en volatilidad</t>
  </si>
  <si>
    <t>Avance en el tiempo - simula el paso de dias</t>
  </si>
  <si>
    <t>Cantidad de contratos</t>
  </si>
  <si>
    <t>Precio después del escenario</t>
  </si>
  <si>
    <t>Nueva volatilidad tras el cambio</t>
  </si>
  <si>
    <t>Nuevo valor de la opcion</t>
  </si>
  <si>
    <t>Ganancia o perdida del trade</t>
  </si>
  <si>
    <t>OPTIONS CALCULATOR (BLACK-SCHOLES)</t>
  </si>
  <si>
    <t>Precio Subyacente (S)</t>
  </si>
  <si>
    <t>Precio de la accion</t>
  </si>
  <si>
    <t>Strike (K)</t>
  </si>
  <si>
    <t>Strike de ejercicio</t>
  </si>
  <si>
    <t>DTE (días)</t>
  </si>
  <si>
    <t>Dias para expiracion</t>
  </si>
  <si>
    <t>Tasa (r)</t>
  </si>
  <si>
    <t>Tasa</t>
  </si>
  <si>
    <t>Volatilidad (σ)</t>
  </si>
  <si>
    <t>Volatilidad</t>
  </si>
  <si>
    <t>T</t>
  </si>
  <si>
    <t xml:space="preserve"> Tiempo hasta Expiracion en años </t>
  </si>
  <si>
    <t>d1</t>
  </si>
  <si>
    <t>Que tan rapido pude reaccionar la accion</t>
  </si>
  <si>
    <t>d2</t>
  </si>
  <si>
    <t>Que tan probable es que gane dinero</t>
  </si>
  <si>
    <t>Precio PUT</t>
  </si>
  <si>
    <t>Precio del contrato</t>
  </si>
  <si>
    <t>Mide cuánto cambia el precio de la opción cuando el activo se mueve $1</t>
  </si>
  <si>
    <t>Cuánto cambia el Delta por cada $1 que se mueve el activo</t>
  </si>
  <si>
    <t>Mide cuánto cambia el precio de la opción cuando cambia la volatilidad implícita (IV) - $ por cada 1 punto porcentual de IV (1%)</t>
  </si>
  <si>
    <t>Theta (anual)</t>
  </si>
  <si>
    <t>Es la pérdida de valor de la opción por el paso del tiempo, expresada en un año completo</t>
  </si>
  <si>
    <t>Theta (diario)</t>
  </si>
  <si>
    <t>Es cuánto dinero pierde tu opción cada día SOLO por el paso del tiempo</t>
  </si>
  <si>
    <t>Mide cuánto cambia el precio de la opción cuando cambian las tasas de interés - $ por cada 1% (100 puntos básicos) de cambio en tasas</t>
  </si>
  <si>
    <t>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</si>
</sst>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164" formatCode="&quot;$&quot;#,##0.00"/>
    <numFmt numFmtId="165" formatCode="&quot;$&quot;0.00"/>
    <numFmt numFmtId="166" formatCode="0.000"/>
    <numFmt numFmtId="167" formatCode="&quot;$&quot;#,##0.00;[Red]\-&quot;$&quot;#,##0.00"/>
    <numFmt numFmtId="168" formatCode="\$#,##0.00"/>
    <numFmt numFmtId="169" formatCode="0.0%"/>
    <numFmt numFmtId="170" formatCode="0.0000"/>
    <numFmt numFmtId="171" formatCode="\$#,##0;[Red]\(\$#,##0\)"/>
  </numFmts>
  <fonts count="36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6"/>
      <color theme="1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color rgb="FF64748B"/>
      <name val="Calibri"/>
      <family val="2"/>
    </font>
    <font>
      <b/>
      <sz val="11"/>
      <color rgb="FF1E3A8A"/>
      <name val="Calibri"/>
      <family val="2"/>
    </font>
    <font>
      <b/>
      <sz val="10"/>
      <color rgb="FF1F2937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00B050"/>
      <name val="Calibri"/>
      <family val="2"/>
    </font>
    <font>
      <sz val="10"/>
      <color rgb="FF000000"/>
      <name val="Calibri"/>
      <family val="2"/>
      <scheme val="minor"/>
    </font>
    <font>
      <sz val="12"/>
      <color theme="10"/>
      <name val="Calibri"/>
      <family val="2"/>
      <scheme val="minor"/>
    </font>
    <font>
      <u/>
      <sz val="10"/>
      <color rgb="FF0563C1"/>
      <name val="Aptos"/>
    </font>
    <font>
      <sz val="10"/>
      <color rgb="FF1F1F1F"/>
      <name val="Aptos"/>
    </font>
    <font>
      <b/>
      <sz val="11"/>
      <color rgb="FF1F4E79"/>
      <name val="Aptos Display"/>
    </font>
    <font>
      <sz val="9"/>
      <color rgb="FF666666"/>
      <name val="Aptos"/>
    </font>
    <font>
      <b/>
      <sz val="10"/>
      <color rgb="FFFFFFFF"/>
      <name val="Aptos"/>
    </font>
    <font>
      <i/>
      <sz val="10"/>
      <color rgb="FFD9EAF7"/>
      <name val="Aptos"/>
    </font>
    <font>
      <b/>
      <sz val="20"/>
      <color rgb="FFFFFFFF"/>
      <name val="Aptos Display"/>
    </font>
    <font>
      <sz val="11"/>
      <color rgb="FFFFFFFF"/>
      <name val="Aptos"/>
    </font>
    <font>
      <b/>
      <sz val="24"/>
      <color rgb="FFFFFFFF"/>
      <name val="Aptos Display"/>
    </font>
    <font>
      <b/>
      <sz val="17"/>
      <color rgb="FFFFFFFF"/>
      <name val="Calibri"/>
    </font>
    <font>
      <i/>
      <sz val="11"/>
      <color rgb="FFCBD5E1"/>
      <name val="Calibri"/>
    </font>
    <font>
      <b/>
      <sz val="12"/>
      <color rgb="FFFFFFFF"/>
      <name val="Calibri"/>
    </font>
    <font>
      <b/>
      <sz val="9"/>
      <color rgb="FFCBD5E1"/>
      <name val="Calibri"/>
    </font>
    <font>
      <b/>
      <sz val="17"/>
      <color rgb="FF4FA3FF"/>
      <name val="Calibri"/>
    </font>
    <font>
      <b/>
      <sz val="17"/>
      <color rgb="FFFFFFFF"/>
      <name val="Calibri"/>
      <family val="2"/>
    </font>
    <font>
      <b/>
      <sz val="11"/>
      <color rgb="FFFFFFFF"/>
      <name val="Calibri"/>
    </font>
    <font>
      <sz val="11"/>
      <color rgb="FFFFFFFF"/>
      <name val="Calibri"/>
    </font>
    <font>
      <b/>
      <sz val="14"/>
      <color rgb="FFFFFFFF"/>
      <name val="Calibri"/>
    </font>
    <font>
      <b/>
      <sz val="11"/>
      <color rgb="FF000000"/>
      <name val="Calibri"/>
    </font>
    <font>
      <sz val="11"/>
      <color rgb="FF0000FF"/>
      <name val="Calibri"/>
    </font>
    <font>
      <sz val="11"/>
      <color rgb="FF000000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2563EB"/>
      </patternFill>
    </fill>
    <fill>
      <patternFill patternType="solid">
        <fgColor rgb="FFFFF7E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F7FBFE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071B2D"/>
      </patternFill>
    </fill>
    <fill>
      <patternFill patternType="solid">
        <fgColor rgb="FF102A43"/>
      </patternFill>
    </fill>
    <fill>
      <patternFill patternType="solid">
        <fgColor rgb="FF1F6FEB"/>
      </patternFill>
    </fill>
    <fill>
      <patternFill patternType="solid">
        <fgColor rgb="FF173B57"/>
      </patternFill>
    </fill>
    <fill>
      <patternFill patternType="solid">
        <fgColor rgb="FF0D2D4D"/>
      </patternFill>
    </fill>
    <fill>
      <patternFill patternType="solid">
        <fgColor rgb="FF00B3A4"/>
      </patternFill>
    </fill>
    <fill>
      <patternFill patternType="solid">
        <fgColor rgb="FF0B253F"/>
      </patternFill>
    </fill>
    <fill>
      <patternFill patternType="solid">
        <fgColor rgb="FFDDEBFF"/>
      </patternFill>
    </fill>
    <fill>
      <patternFill patternType="solid">
        <fgColor rgb="FFEAF0F6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/>
      <bottom style="thin">
        <color rgb="FFCBD5E1"/>
      </bottom>
      <diagonal/>
    </border>
    <border>
      <left style="thin">
        <color rgb="FFF97316"/>
      </left>
      <right style="thin">
        <color rgb="FFF97316"/>
      </right>
      <top style="thin">
        <color rgb="FFF97316"/>
      </top>
      <bottom/>
      <diagonal/>
    </border>
    <border>
      <left style="thin">
        <color rgb="FFF97316"/>
      </left>
      <right style="thin">
        <color rgb="FFF97316"/>
      </right>
      <top/>
      <bottom/>
      <diagonal/>
    </border>
    <border>
      <left style="thin">
        <color rgb="FFF97316"/>
      </left>
      <right style="thin">
        <color rgb="FFF97316"/>
      </right>
      <top/>
      <bottom style="thin">
        <color rgb="FFF97316"/>
      </bottom>
      <diagonal/>
    </border>
    <border>
      <left style="thin">
        <color rgb="FFF97316"/>
      </left>
      <right style="thin">
        <color indexed="64"/>
      </right>
      <top/>
      <bottom/>
      <diagonal/>
    </border>
    <border>
      <left/>
      <right/>
      <top/>
      <bottom style="hair">
        <color rgb="FFD9E2EA"/>
      </bottom>
      <diagonal/>
    </border>
    <border>
      <left/>
      <right/>
      <top/>
      <bottom style="thin">
        <color rgb="FFB7C9D6"/>
      </bottom>
      <diagonal/>
    </border>
    <border>
      <left style="thin">
        <color rgb="FF335066"/>
      </left>
      <right style="thin">
        <color rgb="FF335066"/>
      </right>
      <top style="medium">
        <color rgb="FF1F6FEB"/>
      </top>
      <bottom style="thin">
        <color rgb="FF335066"/>
      </bottom>
      <diagonal/>
    </border>
    <border>
      <left/>
      <right style="thin">
        <color rgb="FF335066"/>
      </right>
      <top style="medium">
        <color rgb="FF1F6FEB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thin">
        <color rgb="FF335066"/>
      </top>
      <bottom style="thin">
        <color rgb="FF335066"/>
      </bottom>
      <diagonal/>
    </border>
    <border>
      <left/>
      <right/>
      <top style="thin">
        <color rgb="FF335066"/>
      </top>
      <bottom style="thin">
        <color rgb="FF335066"/>
      </bottom>
      <diagonal/>
    </border>
    <border>
      <left/>
      <right style="thin">
        <color rgb="FF335066"/>
      </right>
      <top style="thin">
        <color rgb="FF335066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8B5CF6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00D5FF"/>
      </top>
      <bottom style="thin">
        <color rgb="FF335066"/>
      </bottom>
      <diagonal/>
    </border>
    <border>
      <left/>
      <right style="thin">
        <color rgb="FF335066"/>
      </right>
      <top style="medium">
        <color rgb="FF00D5FF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F59E0B"/>
      </top>
      <bottom style="thin">
        <color rgb="FF335066"/>
      </bottom>
      <diagonal/>
    </border>
    <border>
      <left/>
      <right style="thin">
        <color rgb="FF335066"/>
      </right>
      <top style="medium">
        <color rgb="FF8B5CF6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FF4D4D"/>
      </top>
      <bottom style="thin">
        <color rgb="FF335066"/>
      </bottom>
      <diagonal/>
    </border>
    <border>
      <left/>
      <right style="thin">
        <color rgb="FF335066"/>
      </right>
      <top style="medium">
        <color rgb="FFFF4D4D"/>
      </top>
      <bottom style="thin">
        <color rgb="FF335066"/>
      </bottom>
      <diagonal/>
    </border>
    <border>
      <left/>
      <right style="thin">
        <color rgb="FF335066"/>
      </right>
      <top style="medium">
        <color rgb="FFF59E0B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00B050"/>
      </top>
      <bottom style="thin">
        <color rgb="FF335066"/>
      </bottom>
      <diagonal/>
    </border>
    <border>
      <left/>
      <right style="thin">
        <color rgb="FF335066"/>
      </right>
      <top style="medium">
        <color rgb="FF00B050"/>
      </top>
      <bottom style="thin">
        <color rgb="FF335066"/>
      </bottom>
      <diagonal/>
    </border>
    <border>
      <left style="thin">
        <color rgb="FF335066"/>
      </left>
      <right style="thin">
        <color rgb="FF335066"/>
      </right>
      <top style="medium">
        <color rgb="FF00B3A4"/>
      </top>
      <bottom style="thin">
        <color rgb="FF335066"/>
      </bottom>
      <diagonal/>
    </border>
    <border>
      <left/>
      <right style="thin">
        <color rgb="FF335066"/>
      </right>
      <top style="medium">
        <color rgb="FF00B3A4"/>
      </top>
      <bottom style="thin">
        <color rgb="FF335066"/>
      </bottom>
      <diagonal/>
    </border>
    <border>
      <left/>
      <right/>
      <top/>
      <bottom style="hair">
        <color rgb="FF27455F"/>
      </bottom>
      <diagonal/>
    </border>
    <border>
      <left/>
      <right/>
      <top/>
      <bottom style="thin">
        <color rgb="FFD0D7DE"/>
      </bottom>
      <diagonal/>
    </border>
  </borders>
  <cellStyleXfs count="8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3" fillId="0" borderId="0"/>
    <xf numFmtId="0" fontId="14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4" fillId="0" borderId="0" xfId="0" applyNumberFormat="1" applyFont="1"/>
    <xf numFmtId="44" fontId="4" fillId="0" borderId="0" xfId="1" applyFont="1"/>
    <xf numFmtId="0" fontId="4" fillId="0" borderId="0" xfId="0" applyFont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6" fillId="0" borderId="5" xfId="0" applyFont="1" applyBorder="1"/>
    <xf numFmtId="0" fontId="6" fillId="0" borderId="7" xfId="0" applyFont="1" applyBorder="1"/>
    <xf numFmtId="0" fontId="7" fillId="0" borderId="0" xfId="0" applyFont="1"/>
    <xf numFmtId="0" fontId="7" fillId="0" borderId="8" xfId="0" applyFont="1" applyBorder="1"/>
    <xf numFmtId="14" fontId="0" fillId="4" borderId="12" xfId="0" applyNumberFormat="1" applyFill="1" applyBorder="1"/>
    <xf numFmtId="164" fontId="0" fillId="4" borderId="13" xfId="0" applyNumberFormat="1" applyFill="1" applyBorder="1"/>
    <xf numFmtId="9" fontId="0" fillId="4" borderId="13" xfId="0" applyNumberFormat="1" applyFill="1" applyBorder="1"/>
    <xf numFmtId="165" fontId="0" fillId="4" borderId="13" xfId="0" applyNumberFormat="1" applyFill="1" applyBorder="1"/>
    <xf numFmtId="164" fontId="0" fillId="0" borderId="0" xfId="0" applyNumberFormat="1"/>
    <xf numFmtId="1" fontId="0" fillId="0" borderId="0" xfId="0" applyNumberFormat="1"/>
    <xf numFmtId="164" fontId="0" fillId="0" borderId="6" xfId="0" applyNumberFormat="1" applyBorder="1"/>
    <xf numFmtId="1" fontId="0" fillId="0" borderId="6" xfId="0" applyNumberFormat="1" applyBorder="1"/>
    <xf numFmtId="1" fontId="0" fillId="0" borderId="9" xfId="0" applyNumberFormat="1" applyBorder="1"/>
    <xf numFmtId="0" fontId="10" fillId="0" borderId="0" xfId="0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166" fontId="0" fillId="0" borderId="5" xfId="0" applyNumberFormat="1" applyBorder="1"/>
    <xf numFmtId="166" fontId="0" fillId="0" borderId="7" xfId="0" applyNumberFormat="1" applyBorder="1"/>
    <xf numFmtId="166" fontId="0" fillId="0" borderId="8" xfId="0" applyNumberFormat="1" applyBorder="1"/>
    <xf numFmtId="1" fontId="0" fillId="0" borderId="8" xfId="0" applyNumberFormat="1" applyBorder="1"/>
    <xf numFmtId="14" fontId="0" fillId="0" borderId="8" xfId="0" applyNumberFormat="1" applyBorder="1"/>
    <xf numFmtId="0" fontId="8" fillId="6" borderId="2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center" wrapText="1"/>
    </xf>
    <xf numFmtId="0" fontId="8" fillId="6" borderId="4" xfId="0" applyFont="1" applyFill="1" applyBorder="1" applyAlignment="1">
      <alignment horizontal="center" wrapText="1"/>
    </xf>
    <xf numFmtId="14" fontId="0" fillId="4" borderId="15" xfId="0" applyNumberFormat="1" applyFill="1" applyBorder="1"/>
    <xf numFmtId="1" fontId="0" fillId="4" borderId="14" xfId="0" applyNumberFormat="1" applyFill="1" applyBorder="1"/>
    <xf numFmtId="44" fontId="0" fillId="0" borderId="1" xfId="1" applyFont="1" applyBorder="1"/>
    <xf numFmtId="164" fontId="0" fillId="0" borderId="1" xfId="0" applyNumberFormat="1" applyBorder="1"/>
    <xf numFmtId="164" fontId="11" fillId="7" borderId="0" xfId="0" applyNumberFormat="1" applyFont="1" applyFill="1"/>
    <xf numFmtId="164" fontId="12" fillId="8" borderId="0" xfId="0" applyNumberFormat="1" applyFont="1" applyFill="1"/>
    <xf numFmtId="0" fontId="13" fillId="0" borderId="0" xfId="3"/>
    <xf numFmtId="0" fontId="15" fillId="0" borderId="0" xfId="4" applyFont="1"/>
    <xf numFmtId="0" fontId="16" fillId="9" borderId="16" xfId="3" applyFont="1" applyFill="1" applyBorder="1" applyAlignment="1">
      <alignment horizontal="center" vertical="center"/>
    </xf>
    <xf numFmtId="0" fontId="16" fillId="9" borderId="16" xfId="3" applyFont="1" applyFill="1" applyBorder="1" applyAlignment="1">
      <alignment vertical="center" wrapText="1"/>
    </xf>
    <xf numFmtId="0" fontId="16" fillId="9" borderId="16" xfId="3" applyFont="1" applyFill="1" applyBorder="1" applyAlignment="1">
      <alignment horizontal="center" vertical="center" wrapText="1"/>
    </xf>
    <xf numFmtId="0" fontId="17" fillId="9" borderId="16" xfId="3" applyFont="1" applyFill="1" applyBorder="1" applyAlignment="1">
      <alignment horizontal="center" vertical="center"/>
    </xf>
    <xf numFmtId="0" fontId="18" fillId="9" borderId="16" xfId="3" applyFont="1" applyFill="1" applyBorder="1" applyAlignment="1">
      <alignment horizontal="center" vertical="center"/>
    </xf>
    <xf numFmtId="0" fontId="16" fillId="10" borderId="16" xfId="3" applyFont="1" applyFill="1" applyBorder="1" applyAlignment="1">
      <alignment horizontal="center" vertical="center"/>
    </xf>
    <xf numFmtId="0" fontId="16" fillId="10" borderId="16" xfId="3" applyFont="1" applyFill="1" applyBorder="1" applyAlignment="1">
      <alignment vertical="center" wrapText="1"/>
    </xf>
    <xf numFmtId="0" fontId="16" fillId="10" borderId="16" xfId="3" applyFont="1" applyFill="1" applyBorder="1" applyAlignment="1">
      <alignment horizontal="center" vertical="center" wrapText="1"/>
    </xf>
    <xf numFmtId="0" fontId="17" fillId="10" borderId="16" xfId="3" applyFont="1" applyFill="1" applyBorder="1" applyAlignment="1">
      <alignment horizontal="center" vertical="center"/>
    </xf>
    <xf numFmtId="0" fontId="18" fillId="10" borderId="16" xfId="3" applyFont="1" applyFill="1" applyBorder="1" applyAlignment="1">
      <alignment horizontal="center" vertical="center"/>
    </xf>
    <xf numFmtId="0" fontId="14" fillId="0" borderId="0" xfId="4"/>
    <xf numFmtId="0" fontId="16" fillId="9" borderId="16" xfId="5" applyFont="1" applyFill="1" applyBorder="1" applyAlignment="1">
      <alignment horizontal="center" vertical="center"/>
    </xf>
    <xf numFmtId="0" fontId="16" fillId="9" borderId="16" xfId="5" applyFont="1" applyFill="1" applyBorder="1" applyAlignment="1">
      <alignment vertical="center" wrapText="1"/>
    </xf>
    <xf numFmtId="0" fontId="16" fillId="9" borderId="16" xfId="5" applyFont="1" applyFill="1" applyBorder="1" applyAlignment="1">
      <alignment horizontal="center" vertical="center" wrapText="1"/>
    </xf>
    <xf numFmtId="0" fontId="19" fillId="11" borderId="17" xfId="3" applyFont="1" applyFill="1" applyBorder="1" applyAlignment="1">
      <alignment horizontal="center" vertical="center" wrapText="1"/>
    </xf>
    <xf numFmtId="0" fontId="22" fillId="13" borderId="0" xfId="6" applyFont="1" applyFill="1" applyAlignment="1">
      <alignment vertical="center"/>
    </xf>
    <xf numFmtId="0" fontId="1" fillId="0" borderId="0" xfId="6"/>
    <xf numFmtId="0" fontId="25" fillId="13" borderId="0" xfId="6" applyFont="1" applyFill="1"/>
    <xf numFmtId="0" fontId="27" fillId="14" borderId="20" xfId="6" applyFont="1" applyFill="1" applyBorder="1" applyAlignment="1">
      <alignment horizontal="center" vertical="center"/>
    </xf>
    <xf numFmtId="0" fontId="27" fillId="16" borderId="20" xfId="6" applyFont="1" applyFill="1" applyBorder="1" applyAlignment="1">
      <alignment horizontal="center" vertical="center"/>
    </xf>
    <xf numFmtId="10" fontId="24" fillId="14" borderId="23" xfId="6" applyNumberFormat="1" applyFont="1" applyFill="1" applyBorder="1" applyAlignment="1">
      <alignment horizontal="center"/>
    </xf>
    <xf numFmtId="2" fontId="24" fillId="16" borderId="26" xfId="7" applyNumberFormat="1" applyFont="1" applyFill="1" applyBorder="1" applyAlignment="1">
      <alignment horizontal="center"/>
    </xf>
    <xf numFmtId="168" fontId="24" fillId="14" borderId="26" xfId="6" applyNumberFormat="1" applyFont="1" applyFill="1" applyBorder="1" applyAlignment="1">
      <alignment horizontal="center"/>
    </xf>
    <xf numFmtId="168" fontId="24" fillId="14" borderId="33" xfId="6" applyNumberFormat="1" applyFont="1" applyFill="1" applyBorder="1" applyAlignment="1">
      <alignment horizontal="center"/>
    </xf>
    <xf numFmtId="170" fontId="24" fillId="16" borderId="33" xfId="6" applyNumberFormat="1" applyFont="1" applyFill="1" applyBorder="1" applyAlignment="1">
      <alignment horizontal="center"/>
    </xf>
    <xf numFmtId="0" fontId="24" fillId="14" borderId="31" xfId="6" applyFont="1" applyFill="1" applyBorder="1" applyAlignment="1">
      <alignment horizontal="center"/>
    </xf>
    <xf numFmtId="0" fontId="24" fillId="16" borderId="18" xfId="6" applyFont="1" applyFill="1" applyBorder="1" applyAlignment="1">
      <alignment horizontal="center"/>
    </xf>
    <xf numFmtId="0" fontId="30" fillId="18" borderId="0" xfId="6" applyFont="1" applyFill="1" applyAlignment="1">
      <alignment horizontal="center"/>
    </xf>
    <xf numFmtId="0" fontId="31" fillId="19" borderId="35" xfId="6" applyFont="1" applyFill="1" applyBorder="1" applyAlignment="1">
      <alignment vertical="center"/>
    </xf>
    <xf numFmtId="170" fontId="31" fillId="19" borderId="35" xfId="6" applyNumberFormat="1" applyFont="1" applyFill="1" applyBorder="1" applyAlignment="1">
      <alignment vertical="center"/>
    </xf>
    <xf numFmtId="0" fontId="33" fillId="20" borderId="36" xfId="6" applyFont="1" applyFill="1" applyBorder="1"/>
    <xf numFmtId="168" fontId="34" fillId="9" borderId="36" xfId="6" applyNumberFormat="1" applyFont="1" applyFill="1" applyBorder="1"/>
    <xf numFmtId="166" fontId="34" fillId="9" borderId="36" xfId="6" applyNumberFormat="1" applyFont="1" applyFill="1" applyBorder="1"/>
    <xf numFmtId="10" fontId="34" fillId="9" borderId="36" xfId="6" applyNumberFormat="1" applyFont="1" applyFill="1" applyBorder="1"/>
    <xf numFmtId="0" fontId="33" fillId="21" borderId="36" xfId="6" applyFont="1" applyFill="1" applyBorder="1"/>
    <xf numFmtId="0" fontId="35" fillId="9" borderId="36" xfId="6" applyFont="1" applyFill="1" applyBorder="1"/>
    <xf numFmtId="168" fontId="35" fillId="9" borderId="36" xfId="6" applyNumberFormat="1" applyFont="1" applyFill="1" applyBorder="1"/>
    <xf numFmtId="170" fontId="35" fillId="9" borderId="36" xfId="6" applyNumberFormat="1" applyFont="1" applyFill="1" applyBorder="1"/>
    <xf numFmtId="0" fontId="33" fillId="21" borderId="0" xfId="6" applyFont="1" applyFill="1"/>
    <xf numFmtId="10" fontId="1" fillId="0" borderId="0" xfId="6" applyNumberFormat="1"/>
    <xf numFmtId="0" fontId="9" fillId="2" borderId="0" xfId="0" applyFont="1" applyFill="1" applyAlignment="1">
      <alignment horizontal="center"/>
    </xf>
    <xf numFmtId="0" fontId="5" fillId="3" borderId="2" xfId="0" applyFont="1" applyFill="1" applyBorder="1"/>
    <xf numFmtId="0" fontId="5" fillId="3" borderId="3" xfId="0" applyFont="1" applyFill="1" applyBorder="1"/>
    <xf numFmtId="0" fontId="5" fillId="3" borderId="10" xfId="0" applyFont="1" applyFill="1" applyBorder="1"/>
    <xf numFmtId="0" fontId="5" fillId="3" borderId="3" xfId="0" applyFont="1" applyFill="1" applyBorder="1" applyAlignment="1">
      <alignment wrapText="1"/>
    </xf>
    <xf numFmtId="0" fontId="5" fillId="3" borderId="4" xfId="0" applyFont="1" applyFill="1" applyBorder="1"/>
    <xf numFmtId="0" fontId="5" fillId="5" borderId="2" xfId="0" applyFont="1" applyFill="1" applyBorder="1"/>
    <xf numFmtId="0" fontId="5" fillId="5" borderId="4" xfId="0" applyFont="1" applyFill="1" applyBorder="1"/>
    <xf numFmtId="0" fontId="9" fillId="2" borderId="11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21" fillId="12" borderId="0" xfId="3" applyFont="1" applyFill="1" applyAlignment="1">
      <alignment horizontal="center" vertical="center"/>
    </xf>
    <xf numFmtId="0" fontId="2" fillId="0" borderId="0" xfId="5"/>
    <xf numFmtId="0" fontId="20" fillId="12" borderId="0" xfId="5" applyFont="1" applyFill="1" applyAlignment="1">
      <alignment horizontal="center" vertical="center"/>
    </xf>
    <xf numFmtId="10" fontId="24" fillId="14" borderId="18" xfId="6" applyNumberFormat="1" applyFont="1" applyFill="1" applyBorder="1" applyAlignment="1">
      <alignment horizontal="center"/>
    </xf>
    <xf numFmtId="0" fontId="1" fillId="0" borderId="19" xfId="6" applyBorder="1"/>
    <xf numFmtId="170" fontId="24" fillId="16" borderId="23" xfId="6" applyNumberFormat="1" applyFont="1" applyFill="1" applyBorder="1" applyAlignment="1">
      <alignment horizontal="center"/>
    </xf>
    <xf numFmtId="0" fontId="1" fillId="0" borderId="27" xfId="6" applyBorder="1"/>
    <xf numFmtId="168" fontId="24" fillId="16" borderId="33" xfId="6" applyNumberFormat="1" applyFont="1" applyFill="1" applyBorder="1" applyAlignment="1">
      <alignment horizontal="center"/>
    </xf>
    <xf numFmtId="0" fontId="1" fillId="0" borderId="34" xfId="6" applyBorder="1"/>
    <xf numFmtId="171" fontId="29" fillId="16" borderId="31" xfId="6" applyNumberFormat="1" applyFont="1" applyFill="1" applyBorder="1" applyAlignment="1">
      <alignment horizontal="center"/>
    </xf>
    <xf numFmtId="0" fontId="1" fillId="0" borderId="32" xfId="6" applyBorder="1"/>
    <xf numFmtId="0" fontId="26" fillId="15" borderId="20" xfId="6" applyFont="1" applyFill="1" applyBorder="1" applyAlignment="1">
      <alignment horizontal="center"/>
    </xf>
    <xf numFmtId="0" fontId="1" fillId="0" borderId="21" xfId="6" applyBorder="1"/>
    <xf numFmtId="0" fontId="32" fillId="13" borderId="0" xfId="6" applyFont="1" applyFill="1" applyAlignment="1">
      <alignment horizontal="center"/>
    </xf>
    <xf numFmtId="166" fontId="24" fillId="14" borderId="18" xfId="6" applyNumberFormat="1" applyFont="1" applyFill="1" applyBorder="1" applyAlignment="1">
      <alignment horizontal="center"/>
    </xf>
    <xf numFmtId="166" fontId="1" fillId="0" borderId="19" xfId="6" applyNumberFormat="1" applyBorder="1"/>
    <xf numFmtId="170" fontId="24" fillId="16" borderId="31" xfId="6" applyNumberFormat="1" applyFont="1" applyFill="1" applyBorder="1" applyAlignment="1">
      <alignment horizontal="center"/>
    </xf>
    <xf numFmtId="168" fontId="24" fillId="16" borderId="18" xfId="6" applyNumberFormat="1" applyFont="1" applyFill="1" applyBorder="1" applyAlignment="1">
      <alignment horizontal="center"/>
    </xf>
    <xf numFmtId="10" fontId="24" fillId="16" borderId="23" xfId="6" applyNumberFormat="1" applyFont="1" applyFill="1" applyBorder="1" applyAlignment="1">
      <alignment horizontal="center"/>
    </xf>
    <xf numFmtId="0" fontId="27" fillId="14" borderId="20" xfId="6" applyFont="1" applyFill="1" applyBorder="1" applyAlignment="1">
      <alignment horizontal="center" vertical="center"/>
    </xf>
    <xf numFmtId="0" fontId="1" fillId="0" borderId="22" xfId="6" applyBorder="1"/>
    <xf numFmtId="0" fontId="27" fillId="16" borderId="20" xfId="6" applyFont="1" applyFill="1" applyBorder="1" applyAlignment="1">
      <alignment horizontal="center" vertical="center"/>
    </xf>
    <xf numFmtId="168" fontId="24" fillId="14" borderId="18" xfId="6" applyNumberFormat="1" applyFont="1" applyFill="1" applyBorder="1" applyAlignment="1">
      <alignment horizontal="center"/>
    </xf>
    <xf numFmtId="170" fontId="24" fillId="16" borderId="28" xfId="6" applyNumberFormat="1" applyFont="1" applyFill="1" applyBorder="1" applyAlignment="1">
      <alignment horizontal="center"/>
    </xf>
    <xf numFmtId="0" fontId="1" fillId="0" borderId="29" xfId="6" applyBorder="1"/>
    <xf numFmtId="1" fontId="28" fillId="17" borderId="26" xfId="6" applyNumberFormat="1" applyFont="1" applyFill="1" applyBorder="1" applyAlignment="1">
      <alignment horizontal="center"/>
    </xf>
    <xf numFmtId="0" fontId="1" fillId="0" borderId="30" xfId="6" applyBorder="1"/>
    <xf numFmtId="1" fontId="28" fillId="17" borderId="31" xfId="6" applyNumberFormat="1" applyFont="1" applyFill="1" applyBorder="1" applyAlignment="1">
      <alignment horizontal="center"/>
    </xf>
    <xf numFmtId="168" fontId="24" fillId="16" borderId="24" xfId="6" applyNumberFormat="1" applyFont="1" applyFill="1" applyBorder="1" applyAlignment="1">
      <alignment horizontal="center"/>
    </xf>
    <xf numFmtId="0" fontId="1" fillId="0" borderId="25" xfId="6" applyBorder="1"/>
    <xf numFmtId="169" fontId="28" fillId="17" borderId="18" xfId="6" applyNumberFormat="1" applyFont="1" applyFill="1" applyBorder="1" applyAlignment="1">
      <alignment horizontal="center"/>
    </xf>
    <xf numFmtId="169" fontId="28" fillId="17" borderId="23" xfId="6" applyNumberFormat="1" applyFont="1" applyFill="1" applyBorder="1" applyAlignment="1">
      <alignment horizontal="center"/>
    </xf>
    <xf numFmtId="0" fontId="23" fillId="13" borderId="0" xfId="6" applyFont="1" applyFill="1" applyAlignment="1">
      <alignment horizontal="center" vertical="center"/>
    </xf>
    <xf numFmtId="0" fontId="1" fillId="0" borderId="0" xfId="6"/>
  </cellXfs>
  <cellStyles count="8">
    <cellStyle name="Hipervínculo" xfId="4" builtinId="8"/>
    <cellStyle name="Moneda" xfId="1" xr:uid="{00000000-0005-0000-0000-000000000000}"/>
    <cellStyle name="Moneda 2" xfId="7" xr:uid="{FA4249E4-864D-44F8-9101-80BB61E9391B}"/>
    <cellStyle name="Normal" xfId="0" builtinId="0"/>
    <cellStyle name="Normal 2" xfId="3" xr:uid="{78D50B4E-9F84-4C2B-9D19-349409AB0A66}"/>
    <cellStyle name="Normal 3" xfId="5" xr:uid="{F87B9EE8-C48E-4242-A1D5-CEF24EEDC113}"/>
    <cellStyle name="Normal 4" xfId="6" xr:uid="{35800228-B848-4DA2-B96A-E1A46C38C287}"/>
    <cellStyle name="Porcentaje" xfId="2" xr:uid="{00000000-0005-0000-0000-000002000000}"/>
  </cellStyles>
  <dxfs count="35">
    <dxf>
      <fill>
        <patternFill patternType="solid">
          <fgColor rgb="FF164E36"/>
        </patternFill>
      </fill>
    </dxf>
    <dxf>
      <fill>
        <patternFill patternType="solid">
          <fgColor rgb="FF5A1F1F"/>
        </patternFill>
      </fill>
    </dxf>
    <dxf>
      <font>
        <b/>
        <i val="0"/>
        <color rgb="FF00B050"/>
      </font>
      <fill>
        <patternFill>
          <bgColor theme="6" tint="0.59996337778862885"/>
        </patternFill>
      </fill>
    </dxf>
    <dxf>
      <font>
        <b/>
        <i val="0"/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theme="5" tint="0.599932859279152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C00000"/>
      </font>
      <fill>
        <patternFill>
          <bgColor theme="5" tint="0.599932859279152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C00000"/>
      </font>
      <fill>
        <patternFill>
          <bgColor theme="5" tint="0.59993285927915285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viz.com/quote.ashx?t=AVGO&amp;ty=c&amp;ta=1&amp;p=d" TargetMode="External"/><Relationship Id="rId18" Type="http://schemas.openxmlformats.org/officeDocument/2006/relationships/hyperlink" Target="https://finviz.com/quote.ashx?t=HD&amp;ty=c&amp;ta=1&amp;p=d" TargetMode="External"/><Relationship Id="rId26" Type="http://schemas.openxmlformats.org/officeDocument/2006/relationships/hyperlink" Target="https://finviz.com/quote.ashx?t=AXP&amp;ty=c&amp;ta=1&amp;p=d" TargetMode="External"/><Relationship Id="rId39" Type="http://schemas.openxmlformats.org/officeDocument/2006/relationships/hyperlink" Target="https://finviz.com/quote.ashx?t=CVS&amp;ty=c&amp;ta=1&amp;p=d" TargetMode="External"/><Relationship Id="rId21" Type="http://schemas.openxmlformats.org/officeDocument/2006/relationships/hyperlink" Target="https://finviz.com/quote.ashx?t=DIA&amp;ty=c&amp;ta=1&amp;p=d" TargetMode="External"/><Relationship Id="rId34" Type="http://schemas.openxmlformats.org/officeDocument/2006/relationships/hyperlink" Target="https://finviz.com/quote.ashx?t=GDL&amp;ty=c&amp;ta=1&amp;p=d" TargetMode="External"/><Relationship Id="rId42" Type="http://schemas.openxmlformats.org/officeDocument/2006/relationships/hyperlink" Target="https://finviz.com/quote.ashx?t=BA&amp;ty=c&amp;ta=1&amp;p=d" TargetMode="External"/><Relationship Id="rId47" Type="http://schemas.openxmlformats.org/officeDocument/2006/relationships/hyperlink" Target="https://finviz.com/quote.ashx?t=DAL&amp;ty=c&amp;ta=1&amp;p=d" TargetMode="External"/><Relationship Id="rId7" Type="http://schemas.openxmlformats.org/officeDocument/2006/relationships/hyperlink" Target="https://finviz.com/quote.ashx?t=TSLA&amp;ty=c&amp;ta=1&amp;p=d" TargetMode="External"/><Relationship Id="rId2" Type="http://schemas.openxmlformats.org/officeDocument/2006/relationships/hyperlink" Target="https://finviz.com/quote.ashx?t=AAPL&amp;ty=c&amp;ta=1&amp;p=d" TargetMode="External"/><Relationship Id="rId16" Type="http://schemas.openxmlformats.org/officeDocument/2006/relationships/hyperlink" Target="https://finviz.com/quote.ashx?t=LYFT&amp;ty=c&amp;ta=1&amp;p=d" TargetMode="External"/><Relationship Id="rId29" Type="http://schemas.openxmlformats.org/officeDocument/2006/relationships/hyperlink" Target="https://finviz.com/quote.ashx?t=V&amp;ty=c&amp;ta=1&amp;p=d" TargetMode="External"/><Relationship Id="rId1" Type="http://schemas.openxmlformats.org/officeDocument/2006/relationships/hyperlink" Target="https://finviz.com/quote.ashx?t=AMZN&amp;ty=c&amp;ta=1&amp;p=d" TargetMode="External"/><Relationship Id="rId6" Type="http://schemas.openxmlformats.org/officeDocument/2006/relationships/hyperlink" Target="https://finviz.com/quote.ashx?t=NFLX&amp;ty=c&amp;ta=1&amp;p=d" TargetMode="External"/><Relationship Id="rId11" Type="http://schemas.openxmlformats.org/officeDocument/2006/relationships/hyperlink" Target="https://finviz.com/quote.ashx?t=NVDA&amp;ty=c&amp;ta=1&amp;p=d" TargetMode="External"/><Relationship Id="rId24" Type="http://schemas.openxmlformats.org/officeDocument/2006/relationships/hyperlink" Target="https://finviz.com/quote.ashx?t=IWM&amp;ty=c&amp;ta=1&amp;p=d" TargetMode="External"/><Relationship Id="rId32" Type="http://schemas.openxmlformats.org/officeDocument/2006/relationships/hyperlink" Target="https://finviz.com/quote.ashx?t=NIO&amp;ty=c&amp;ta=1&amp;p=d" TargetMode="External"/><Relationship Id="rId37" Type="http://schemas.openxmlformats.org/officeDocument/2006/relationships/hyperlink" Target="https://finviz.com/quote.ashx?t=COIN&amp;ty=c&amp;ta=1&amp;p=d" TargetMode="External"/><Relationship Id="rId40" Type="http://schemas.openxmlformats.org/officeDocument/2006/relationships/hyperlink" Target="https://finviz.com/quote.ashx?t=MRNA&amp;ty=c&amp;ta=1&amp;p=d" TargetMode="External"/><Relationship Id="rId45" Type="http://schemas.openxmlformats.org/officeDocument/2006/relationships/hyperlink" Target="https://finviz.com/quote.ashx?t=RCL&amp;ty=c&amp;ta=1&amp;p=d" TargetMode="External"/><Relationship Id="rId5" Type="http://schemas.openxmlformats.org/officeDocument/2006/relationships/hyperlink" Target="https://finviz.com/quote.ashx?t=MSFT&amp;ty=c&amp;ta=1&amp;p=d" TargetMode="External"/><Relationship Id="rId15" Type="http://schemas.openxmlformats.org/officeDocument/2006/relationships/hyperlink" Target="https://finviz.com/quote.ashx?t=DASH&amp;ty=c&amp;ta=1&amp;p=d" TargetMode="External"/><Relationship Id="rId23" Type="http://schemas.openxmlformats.org/officeDocument/2006/relationships/hyperlink" Target="https://finviz.com/quote.ashx?t=SPY&amp;ty=c&amp;ta=1&amp;p=d" TargetMode="External"/><Relationship Id="rId28" Type="http://schemas.openxmlformats.org/officeDocument/2006/relationships/hyperlink" Target="https://finviz.com/quote.ashx?t=PYPL&amp;ty=c&amp;ta=1&amp;p=d" TargetMode="External"/><Relationship Id="rId36" Type="http://schemas.openxmlformats.org/officeDocument/2006/relationships/hyperlink" Target="https://finviz.com/quote.ashx?t=USO&amp;ty=c&amp;ta=1&amp;p=d" TargetMode="External"/><Relationship Id="rId10" Type="http://schemas.openxmlformats.org/officeDocument/2006/relationships/hyperlink" Target="https://finviz.com/quote.ashx?t=MU&amp;ty=c&amp;ta=1&amp;p=d" TargetMode="External"/><Relationship Id="rId19" Type="http://schemas.openxmlformats.org/officeDocument/2006/relationships/hyperlink" Target="https://finviz.com/quote.ashx?t=LOW&amp;ty=c&amp;ta=1&amp;p=d" TargetMode="External"/><Relationship Id="rId31" Type="http://schemas.openxmlformats.org/officeDocument/2006/relationships/hyperlink" Target="https://finviz.com/quote.ashx?t=LI&amp;ty=c&amp;ta=1&amp;p=d" TargetMode="External"/><Relationship Id="rId44" Type="http://schemas.openxmlformats.org/officeDocument/2006/relationships/hyperlink" Target="https://finviz.com/quote.ashx?t=CCL&amp;ty=c&amp;ta=1&amp;p=d" TargetMode="External"/><Relationship Id="rId4" Type="http://schemas.openxmlformats.org/officeDocument/2006/relationships/hyperlink" Target="https://finviz.com/quote.ashx?t=META&amp;ty=c&amp;ta=1&amp;p=d" TargetMode="External"/><Relationship Id="rId9" Type="http://schemas.openxmlformats.org/officeDocument/2006/relationships/hyperlink" Target="https://finviz.com/quote.ashx?t=AMD&amp;ty=c&amp;ta=1&amp;p=d" TargetMode="External"/><Relationship Id="rId14" Type="http://schemas.openxmlformats.org/officeDocument/2006/relationships/hyperlink" Target="https://finviz.com/quote.ashx?t=SOXL&amp;p=d" TargetMode="External"/><Relationship Id="rId22" Type="http://schemas.openxmlformats.org/officeDocument/2006/relationships/hyperlink" Target="https://finviz.com/quote.ashx?t=QQQ&amp;ty=c&amp;ta=1&amp;p=d" TargetMode="External"/><Relationship Id="rId27" Type="http://schemas.openxmlformats.org/officeDocument/2006/relationships/hyperlink" Target="https://finviz.com/quote.ashx?t=MA&amp;ty=c&amp;ta=1&amp;p=d" TargetMode="External"/><Relationship Id="rId30" Type="http://schemas.openxmlformats.org/officeDocument/2006/relationships/hyperlink" Target="https://finviz.com/quote.ashx?t=BABA&amp;ty=c&amp;ta=1&amp;p=d" TargetMode="External"/><Relationship Id="rId35" Type="http://schemas.openxmlformats.org/officeDocument/2006/relationships/hyperlink" Target="https://finviz.com/quote.ashx?t=SLV&amp;ty=c&amp;ta=1&amp;p=d" TargetMode="External"/><Relationship Id="rId43" Type="http://schemas.openxmlformats.org/officeDocument/2006/relationships/hyperlink" Target="https://finviz.com/quote.ashx?t=URA&amp;p=d" TargetMode="External"/><Relationship Id="rId48" Type="http://schemas.openxmlformats.org/officeDocument/2006/relationships/hyperlink" Target="https://finviz.com/quote.ashx?t=TZA&amp;ty=c&amp;ta=1&amp;p=d" TargetMode="External"/><Relationship Id="rId8" Type="http://schemas.openxmlformats.org/officeDocument/2006/relationships/hyperlink" Target="https://finviz.com/quote.ashx?t=PLTR&amp;ty=c&amp;ta=1&amp;p=d" TargetMode="External"/><Relationship Id="rId3" Type="http://schemas.openxmlformats.org/officeDocument/2006/relationships/hyperlink" Target="https://finviz.com/quote.ashx?t=GOOG&amp;ty=c&amp;ta=1&amp;p=d" TargetMode="External"/><Relationship Id="rId12" Type="http://schemas.openxmlformats.org/officeDocument/2006/relationships/hyperlink" Target="https://finviz.com/quote.ashx?t=QCOM&amp;p=d" TargetMode="External"/><Relationship Id="rId17" Type="http://schemas.openxmlformats.org/officeDocument/2006/relationships/hyperlink" Target="https://finviz.com/quote.ashx?t=UBER&amp;ty=c&amp;ta=1&amp;p=d" TargetMode="External"/><Relationship Id="rId25" Type="http://schemas.openxmlformats.org/officeDocument/2006/relationships/hyperlink" Target="https://finviz.com/quote.ashx?t=TNA&amp;ty=c&amp;ta=1&amp;p=d" TargetMode="External"/><Relationship Id="rId33" Type="http://schemas.openxmlformats.org/officeDocument/2006/relationships/hyperlink" Target="https://finviz.com/quote.ashx?t=XPEV&amp;ty=c&amp;ta=1&amp;p=d" TargetMode="External"/><Relationship Id="rId38" Type="http://schemas.openxmlformats.org/officeDocument/2006/relationships/hyperlink" Target="https://finviz.com/quote.ashx?t=HOOD&amp;p=d" TargetMode="External"/><Relationship Id="rId46" Type="http://schemas.openxmlformats.org/officeDocument/2006/relationships/hyperlink" Target="https://finviz.com/quote.ashx?t=AAL&amp;ty=c&amp;ta=1&amp;p=d" TargetMode="External"/><Relationship Id="rId20" Type="http://schemas.openxmlformats.org/officeDocument/2006/relationships/hyperlink" Target="https://finviz.com/quote.ashx?t=WMT&amp;ty=c&amp;ta=1&amp;p=d" TargetMode="External"/><Relationship Id="rId41" Type="http://schemas.openxmlformats.org/officeDocument/2006/relationships/hyperlink" Target="https://finviz.com/quote.ashx?t=PFE&amp;ty=c&amp;ta=1&amp;p=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1"/>
  <sheetViews>
    <sheetView showGridLines="0" workbookViewId="0">
      <selection activeCell="L15" sqref="L15"/>
    </sheetView>
  </sheetViews>
  <sheetFormatPr baseColWidth="10" defaultColWidth="9.140625" defaultRowHeight="21" x14ac:dyDescent="0.35"/>
  <cols>
    <col min="1" max="2" width="8" customWidth="1"/>
    <col min="3" max="3" width="9" customWidth="1"/>
    <col min="4" max="4" width="13" style="3" customWidth="1"/>
    <col min="5" max="5" width="14" style="3" customWidth="1"/>
    <col min="6" max="6" width="14" style="4" customWidth="1"/>
    <col min="7" max="7" width="12" style="5" customWidth="1"/>
    <col min="8" max="8" width="16" style="5" customWidth="1"/>
    <col min="9" max="9" width="14" style="5" customWidth="1"/>
    <col min="10" max="10" width="16" style="2" customWidth="1"/>
    <col min="11" max="11" width="23.5703125" bestFit="1" customWidth="1"/>
    <col min="12" max="12" width="11.140625" bestFit="1" customWidth="1"/>
    <col min="13" max="13" width="3" customWidth="1"/>
    <col min="14" max="14" width="3" hidden="1" customWidth="1"/>
    <col min="15" max="15" width="38" customWidth="1"/>
    <col min="16" max="16" width="12" customWidth="1"/>
    <col min="17" max="17" width="17" customWidth="1"/>
  </cols>
  <sheetData>
    <row r="1" spans="1:16" ht="20.100000000000001" customHeight="1" x14ac:dyDescent="0.3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23"/>
      <c r="K1" s="84" t="s">
        <v>1</v>
      </c>
      <c r="L1" s="85"/>
      <c r="M1" s="85"/>
      <c r="N1" s="86"/>
      <c r="O1" s="87"/>
      <c r="P1" s="88"/>
    </row>
    <row r="2" spans="1:16" s="1" customFormat="1" ht="20.100000000000001" customHeight="1" x14ac:dyDescent="0.25">
      <c r="A2" s="32" t="s">
        <v>2</v>
      </c>
      <c r="B2" s="33" t="s">
        <v>3</v>
      </c>
      <c r="C2" s="33" t="s">
        <v>4</v>
      </c>
      <c r="D2" s="33" t="s">
        <v>5</v>
      </c>
      <c r="E2" s="33" t="s">
        <v>6</v>
      </c>
      <c r="F2" s="33" t="s">
        <v>35</v>
      </c>
      <c r="G2" s="33" t="s">
        <v>7</v>
      </c>
      <c r="H2" s="33" t="s">
        <v>34</v>
      </c>
      <c r="I2" s="33" t="s">
        <v>8</v>
      </c>
      <c r="J2" s="34" t="s">
        <v>9</v>
      </c>
      <c r="K2" s="10" t="s">
        <v>10</v>
      </c>
      <c r="L2" s="14">
        <v>46143</v>
      </c>
      <c r="M2"/>
      <c r="N2"/>
      <c r="O2" s="12" t="s">
        <v>11</v>
      </c>
      <c r="P2" s="6"/>
    </row>
    <row r="3" spans="1:16" s="1" customFormat="1" ht="20.100000000000001" customHeight="1" x14ac:dyDescent="0.25">
      <c r="A3" s="27">
        <f t="shared" ref="A3:A59" ca="1" si="0">RAND()</f>
        <v>0.36216069698202535</v>
      </c>
      <c r="B3" s="24">
        <f ca="1">RANK(A3,$A$3:$A$60,1)</f>
        <v>14</v>
      </c>
      <c r="C3" s="19">
        <v>1</v>
      </c>
      <c r="D3" s="25">
        <f t="shared" ref="D3:D59" si="1">WORKDAY($L$2,C3-1)</f>
        <v>46143</v>
      </c>
      <c r="E3" s="18">
        <f>IF(C3=1,$L$4,I2)</f>
        <v>1000</v>
      </c>
      <c r="F3" s="38">
        <f>ROUND(E3*$L$5,2)</f>
        <v>100</v>
      </c>
      <c r="G3" s="37">
        <f ca="1">IF(IF(B3&lt;=ROUND($L$10*$L$6,0),"WIN","LOSS")="LOSS",(F3*-1),(F3*(1+$L$9)))</f>
        <v>200</v>
      </c>
      <c r="H3" s="26">
        <f ca="1">IF(G3&gt;F3,G3-F3,G3)</f>
        <v>100</v>
      </c>
      <c r="I3" s="26">
        <f ca="1">E3+H3</f>
        <v>1100</v>
      </c>
      <c r="J3" s="6" t="str">
        <f ca="1">IF(G3&gt;0,"Ganó limit","Perdió stop")</f>
        <v>Ganó limit</v>
      </c>
      <c r="K3" s="10" t="s">
        <v>12</v>
      </c>
      <c r="L3" s="35">
        <v>46174</v>
      </c>
      <c r="M3"/>
      <c r="N3"/>
      <c r="O3" s="12" t="s">
        <v>13</v>
      </c>
      <c r="P3" s="6"/>
    </row>
    <row r="4" spans="1:16" s="1" customFormat="1" ht="20.100000000000001" customHeight="1" x14ac:dyDescent="0.25">
      <c r="A4" s="27">
        <f t="shared" ca="1" si="0"/>
        <v>0.4276329045367131</v>
      </c>
      <c r="B4" s="24">
        <f t="shared" ref="B4:B34" ca="1" si="2">RANK(A4,$A$3:$A$60,1)</f>
        <v>21</v>
      </c>
      <c r="C4" s="19">
        <v>2</v>
      </c>
      <c r="D4" s="25">
        <f t="shared" si="1"/>
        <v>46146</v>
      </c>
      <c r="E4" s="18">
        <f ca="1">IF(C4=1,$L$4,I3)</f>
        <v>1100</v>
      </c>
      <c r="F4" s="38">
        <f ca="1">ROUND(E4*$L$5,2)</f>
        <v>110</v>
      </c>
      <c r="G4" s="37">
        <f t="shared" ref="G4:G60" ca="1" si="3">IF(IF(B4&lt;=ROUND($L$10*$L$6,0),"WIN","LOSS")="LOSS",(F4*-1),(F4*(1+$L$9)))</f>
        <v>220</v>
      </c>
      <c r="H4" s="26">
        <f t="shared" ref="H4:H60" ca="1" si="4">IF(G4&gt;F4,G4-F4,G4)</f>
        <v>110</v>
      </c>
      <c r="I4" s="26">
        <f t="shared" ref="I4:I60" ca="1" si="5">E4+H4</f>
        <v>1210</v>
      </c>
      <c r="J4" s="6" t="str">
        <f t="shared" ref="J4:J60" ca="1" si="6">IF(G4&gt;0,"Ganó limit","Perdió stop")</f>
        <v>Ganó limit</v>
      </c>
      <c r="K4" s="10" t="s">
        <v>14</v>
      </c>
      <c r="L4" s="15">
        <v>1000</v>
      </c>
      <c r="M4"/>
      <c r="N4"/>
      <c r="O4" s="12" t="s">
        <v>15</v>
      </c>
      <c r="P4" s="6"/>
    </row>
    <row r="5" spans="1:16" s="1" customFormat="1" ht="20.100000000000001" customHeight="1" x14ac:dyDescent="0.25">
      <c r="A5" s="27">
        <f t="shared" ca="1" si="0"/>
        <v>8.9525731659558794E-2</v>
      </c>
      <c r="B5" s="24">
        <f t="shared" ca="1" si="2"/>
        <v>4</v>
      </c>
      <c r="C5" s="19">
        <v>3</v>
      </c>
      <c r="D5" s="25">
        <f>WORKDAY($L$2,C5-1)</f>
        <v>46147</v>
      </c>
      <c r="E5" s="18">
        <f t="shared" ref="E5:E60" ca="1" si="7">IF(C5=1,$L$4,I4)</f>
        <v>1210</v>
      </c>
      <c r="F5" s="38">
        <f t="shared" ref="F5:F60" ca="1" si="8">ROUND(E5*$L$5,2)</f>
        <v>121</v>
      </c>
      <c r="G5" s="37">
        <f t="shared" ca="1" si="3"/>
        <v>242</v>
      </c>
      <c r="H5" s="26">
        <f t="shared" ca="1" si="4"/>
        <v>121</v>
      </c>
      <c r="I5" s="26">
        <f t="shared" ca="1" si="5"/>
        <v>1331</v>
      </c>
      <c r="J5" s="6" t="str">
        <f t="shared" ca="1" si="6"/>
        <v>Ganó limit</v>
      </c>
      <c r="K5" s="10" t="s">
        <v>16</v>
      </c>
      <c r="L5" s="16">
        <v>0.1</v>
      </c>
      <c r="M5"/>
      <c r="N5"/>
      <c r="O5" s="12" t="s">
        <v>17</v>
      </c>
      <c r="P5" s="6"/>
    </row>
    <row r="6" spans="1:16" s="1" customFormat="1" ht="20.100000000000001" customHeight="1" x14ac:dyDescent="0.25">
      <c r="A6" s="27">
        <f t="shared" ca="1" si="0"/>
        <v>0.18903391577609197</v>
      </c>
      <c r="B6" s="24">
        <f t="shared" ca="1" si="2"/>
        <v>7</v>
      </c>
      <c r="C6" s="19">
        <v>4</v>
      </c>
      <c r="D6" s="25">
        <f t="shared" si="1"/>
        <v>46148</v>
      </c>
      <c r="E6" s="18">
        <f t="shared" ca="1" si="7"/>
        <v>1331</v>
      </c>
      <c r="F6" s="38">
        <f t="shared" ca="1" si="8"/>
        <v>133.1</v>
      </c>
      <c r="G6" s="37">
        <f ca="1">IF(IF(B6&lt;=ROUND($L$10*$L$6,0),"WIN","LOSS")="LOSS",(F6*-1),(F6*(1+$L$9)))</f>
        <v>266.2</v>
      </c>
      <c r="H6" s="26">
        <f t="shared" ca="1" si="4"/>
        <v>133.1</v>
      </c>
      <c r="I6" s="26">
        <f t="shared" ca="1" si="5"/>
        <v>1464.1</v>
      </c>
      <c r="J6" s="6" t="str">
        <f t="shared" ca="1" si="6"/>
        <v>Ganó limit</v>
      </c>
      <c r="K6" s="10" t="s">
        <v>18</v>
      </c>
      <c r="L6" s="16">
        <v>0.7</v>
      </c>
      <c r="M6"/>
      <c r="N6"/>
      <c r="O6" s="12" t="s">
        <v>19</v>
      </c>
      <c r="P6" s="6"/>
    </row>
    <row r="7" spans="1:16" s="1" customFormat="1" ht="20.100000000000001" customHeight="1" x14ac:dyDescent="0.25">
      <c r="A7" s="27">
        <f t="shared" ca="1" si="0"/>
        <v>0.8271840482136289</v>
      </c>
      <c r="B7" s="24">
        <f t="shared" ca="1" si="2"/>
        <v>42</v>
      </c>
      <c r="C7" s="19">
        <v>5</v>
      </c>
      <c r="D7" s="25">
        <f t="shared" si="1"/>
        <v>46149</v>
      </c>
      <c r="E7" s="18">
        <f t="shared" ca="1" si="7"/>
        <v>1464.1</v>
      </c>
      <c r="F7" s="38">
        <f t="shared" ca="1" si="8"/>
        <v>146.41</v>
      </c>
      <c r="G7" s="37">
        <f ca="1">IF(IF(B7&lt;=ROUND($L$10*$L$6,0),"WIN","LOSS")="LOSS",(F7*-1),(F7*(1+$L$9)))</f>
        <v>292.82</v>
      </c>
      <c r="H7" s="26">
        <f t="shared" ca="1" si="4"/>
        <v>146.41</v>
      </c>
      <c r="I7" s="26">
        <f t="shared" ca="1" si="5"/>
        <v>1610.51</v>
      </c>
      <c r="J7" s="6" t="str">
        <f t="shared" ca="1" si="6"/>
        <v>Ganó limit</v>
      </c>
      <c r="K7" s="10" t="s">
        <v>20</v>
      </c>
      <c r="L7" s="17">
        <v>0.86</v>
      </c>
      <c r="M7"/>
      <c r="N7"/>
      <c r="O7" s="12" t="s">
        <v>21</v>
      </c>
      <c r="P7" s="6"/>
    </row>
    <row r="8" spans="1:16" s="1" customFormat="1" ht="20.100000000000001" customHeight="1" x14ac:dyDescent="0.25">
      <c r="A8" s="27">
        <f t="shared" ca="1" si="0"/>
        <v>0.76773608705210272</v>
      </c>
      <c r="B8" s="24">
        <f t="shared" ca="1" si="2"/>
        <v>37</v>
      </c>
      <c r="C8" s="19">
        <v>6</v>
      </c>
      <c r="D8" s="25">
        <f t="shared" si="1"/>
        <v>46150</v>
      </c>
      <c r="E8" s="18">
        <f t="shared" ca="1" si="7"/>
        <v>1610.51</v>
      </c>
      <c r="F8" s="38">
        <f t="shared" ca="1" si="8"/>
        <v>161.05000000000001</v>
      </c>
      <c r="G8" s="37">
        <f t="shared" ca="1" si="3"/>
        <v>322.10000000000002</v>
      </c>
      <c r="H8" s="26">
        <f t="shared" ca="1" si="4"/>
        <v>161.05000000000001</v>
      </c>
      <c r="I8" s="26">
        <f t="shared" ca="1" si="5"/>
        <v>1771.56</v>
      </c>
      <c r="J8" s="6" t="str">
        <f t="shared" ca="1" si="6"/>
        <v>Ganó limit</v>
      </c>
      <c r="K8" s="10" t="s">
        <v>22</v>
      </c>
      <c r="L8" s="16">
        <v>1</v>
      </c>
      <c r="M8"/>
      <c r="N8"/>
      <c r="O8" s="12" t="s">
        <v>23</v>
      </c>
      <c r="P8" s="6"/>
    </row>
    <row r="9" spans="1:16" s="1" customFormat="1" ht="20.100000000000001" customHeight="1" x14ac:dyDescent="0.25">
      <c r="A9" s="27">
        <f t="shared" ca="1" si="0"/>
        <v>0.63614580016705391</v>
      </c>
      <c r="B9" s="24">
        <f t="shared" ca="1" si="2"/>
        <v>28</v>
      </c>
      <c r="C9" s="19">
        <v>7</v>
      </c>
      <c r="D9" s="25">
        <f t="shared" si="1"/>
        <v>46153</v>
      </c>
      <c r="E9" s="18">
        <f t="shared" ca="1" si="7"/>
        <v>1771.56</v>
      </c>
      <c r="F9" s="38">
        <f t="shared" ca="1" si="8"/>
        <v>177.16</v>
      </c>
      <c r="G9" s="37">
        <f t="shared" ca="1" si="3"/>
        <v>354.32</v>
      </c>
      <c r="H9" s="26">
        <f t="shared" ca="1" si="4"/>
        <v>177.16</v>
      </c>
      <c r="I9" s="26">
        <f t="shared" ca="1" si="5"/>
        <v>1948.72</v>
      </c>
      <c r="J9" s="6" t="str">
        <f t="shared" ca="1" si="6"/>
        <v>Ganó limit</v>
      </c>
      <c r="K9" s="10" t="s">
        <v>24</v>
      </c>
      <c r="L9" s="16">
        <v>1</v>
      </c>
      <c r="M9"/>
      <c r="N9"/>
      <c r="O9" s="12" t="s">
        <v>25</v>
      </c>
      <c r="P9" s="6"/>
    </row>
    <row r="10" spans="1:16" s="1" customFormat="1" ht="20.100000000000001" customHeight="1" x14ac:dyDescent="0.25">
      <c r="A10" s="27">
        <f t="shared" ca="1" si="0"/>
        <v>0.50320742291060028</v>
      </c>
      <c r="B10" s="24">
        <f t="shared" ca="1" si="2"/>
        <v>24</v>
      </c>
      <c r="C10" s="19">
        <v>8</v>
      </c>
      <c r="D10" s="25">
        <f t="shared" si="1"/>
        <v>46154</v>
      </c>
      <c r="E10" s="18">
        <f t="shared" ca="1" si="7"/>
        <v>1948.72</v>
      </c>
      <c r="F10" s="38">
        <f t="shared" ca="1" si="8"/>
        <v>194.87</v>
      </c>
      <c r="G10" s="37">
        <f t="shared" ca="1" si="3"/>
        <v>389.74</v>
      </c>
      <c r="H10" s="26">
        <f t="shared" ca="1" si="4"/>
        <v>194.87</v>
      </c>
      <c r="I10" s="26">
        <f t="shared" ca="1" si="5"/>
        <v>2143.59</v>
      </c>
      <c r="J10" s="6" t="str">
        <f t="shared" ca="1" si="6"/>
        <v>Ganó limit</v>
      </c>
      <c r="K10" s="11" t="s">
        <v>26</v>
      </c>
      <c r="L10" s="36">
        <v>60</v>
      </c>
      <c r="M10" s="7"/>
      <c r="N10" s="9"/>
      <c r="O10" s="13" t="s">
        <v>27</v>
      </c>
      <c r="P10" s="8"/>
    </row>
    <row r="11" spans="1:16" s="1" customFormat="1" ht="20.100000000000001" customHeight="1" x14ac:dyDescent="0.25">
      <c r="A11" s="27">
        <f t="shared" ca="1" si="0"/>
        <v>0.12108264678124336</v>
      </c>
      <c r="B11" s="24">
        <f t="shared" ca="1" si="2"/>
        <v>5</v>
      </c>
      <c r="C11" s="19">
        <v>9</v>
      </c>
      <c r="D11" s="25">
        <f t="shared" si="1"/>
        <v>46155</v>
      </c>
      <c r="E11" s="18">
        <f t="shared" ca="1" si="7"/>
        <v>2143.59</v>
      </c>
      <c r="F11" s="38">
        <f t="shared" ca="1" si="8"/>
        <v>214.36</v>
      </c>
      <c r="G11" s="37">
        <f t="shared" ca="1" si="3"/>
        <v>428.72</v>
      </c>
      <c r="H11" s="26">
        <f t="shared" ca="1" si="4"/>
        <v>214.36</v>
      </c>
      <c r="I11" s="26">
        <f t="shared" ca="1" si="5"/>
        <v>2357.9500000000003</v>
      </c>
      <c r="J11" s="6" t="str">
        <f t="shared" ca="1" si="6"/>
        <v>Ganó limit</v>
      </c>
    </row>
    <row r="12" spans="1:16" s="1" customFormat="1" ht="20.100000000000001" customHeight="1" x14ac:dyDescent="0.3">
      <c r="A12" s="27">
        <f t="shared" ca="1" si="0"/>
        <v>0.60195139465252134</v>
      </c>
      <c r="B12" s="24">
        <f t="shared" ca="1" si="2"/>
        <v>25</v>
      </c>
      <c r="C12" s="19">
        <v>10</v>
      </c>
      <c r="D12" s="25">
        <f t="shared" si="1"/>
        <v>46156</v>
      </c>
      <c r="E12" s="18">
        <f t="shared" ca="1" si="7"/>
        <v>2357.9500000000003</v>
      </c>
      <c r="F12" s="38">
        <f t="shared" ca="1" si="8"/>
        <v>235.8</v>
      </c>
      <c r="G12" s="37">
        <f t="shared" ca="1" si="3"/>
        <v>471.6</v>
      </c>
      <c r="H12" s="26">
        <f t="shared" ca="1" si="4"/>
        <v>235.8</v>
      </c>
      <c r="I12" s="26">
        <f t="shared" ca="1" si="5"/>
        <v>2593.7500000000005</v>
      </c>
      <c r="J12" s="6" t="str">
        <f t="shared" ca="1" si="6"/>
        <v>Ganó limit</v>
      </c>
      <c r="K12" s="89" t="s">
        <v>28</v>
      </c>
      <c r="L12" s="90"/>
    </row>
    <row r="13" spans="1:16" s="1" customFormat="1" ht="20.100000000000001" customHeight="1" x14ac:dyDescent="0.25">
      <c r="A13" s="27">
        <f t="shared" ca="1" si="0"/>
        <v>0.89068362206560092</v>
      </c>
      <c r="B13" s="24">
        <f t="shared" ca="1" si="2"/>
        <v>49</v>
      </c>
      <c r="C13" s="19">
        <v>11</v>
      </c>
      <c r="D13" s="25">
        <f t="shared" si="1"/>
        <v>46157</v>
      </c>
      <c r="E13" s="18">
        <f t="shared" ca="1" si="7"/>
        <v>2593.7500000000005</v>
      </c>
      <c r="F13" s="38">
        <f t="shared" ca="1" si="8"/>
        <v>259.38</v>
      </c>
      <c r="G13" s="37">
        <f t="shared" ca="1" si="3"/>
        <v>-259.38</v>
      </c>
      <c r="H13" s="26">
        <f t="shared" ca="1" si="4"/>
        <v>-259.38</v>
      </c>
      <c r="I13" s="26">
        <f t="shared" ca="1" si="5"/>
        <v>2334.3700000000003</v>
      </c>
      <c r="J13" s="6" t="str">
        <f t="shared" ca="1" si="6"/>
        <v>Perdió stop</v>
      </c>
      <c r="K13" s="10" t="s">
        <v>29</v>
      </c>
      <c r="L13" s="20">
        <f ca="1">IFERROR(INDEX($I$3:$I$60,MATCH($L$3,$D$3:$D$60,1)),$L$4)</f>
        <v>3647.8500000000004</v>
      </c>
    </row>
    <row r="14" spans="1:16" s="1" customFormat="1" ht="20.100000000000001" customHeight="1" x14ac:dyDescent="0.25">
      <c r="A14" s="27">
        <f t="shared" ca="1" si="0"/>
        <v>0.73137187700715967</v>
      </c>
      <c r="B14" s="24">
        <f t="shared" ca="1" si="2"/>
        <v>34</v>
      </c>
      <c r="C14" s="19">
        <v>12</v>
      </c>
      <c r="D14" s="25">
        <f t="shared" si="1"/>
        <v>46160</v>
      </c>
      <c r="E14" s="18">
        <f t="shared" ca="1" si="7"/>
        <v>2334.3700000000003</v>
      </c>
      <c r="F14" s="38">
        <f t="shared" ca="1" si="8"/>
        <v>233.44</v>
      </c>
      <c r="G14" s="37">
        <f t="shared" ca="1" si="3"/>
        <v>466.88</v>
      </c>
      <c r="H14" s="26">
        <f t="shared" ca="1" si="4"/>
        <v>233.44</v>
      </c>
      <c r="I14" s="26">
        <f t="shared" ca="1" si="5"/>
        <v>2567.8100000000004</v>
      </c>
      <c r="J14" s="6" t="str">
        <f t="shared" ca="1" si="6"/>
        <v>Ganó limit</v>
      </c>
      <c r="K14" s="10" t="s">
        <v>30</v>
      </c>
      <c r="L14" s="20">
        <f ca="1">L13-$L$4</f>
        <v>2647.8500000000004</v>
      </c>
    </row>
    <row r="15" spans="1:16" s="1" customFormat="1" ht="20.100000000000001" customHeight="1" x14ac:dyDescent="0.25">
      <c r="A15" s="27">
        <f t="shared" ca="1" si="0"/>
        <v>0.96401060963788554</v>
      </c>
      <c r="B15" s="24">
        <f t="shared" ca="1" si="2"/>
        <v>56</v>
      </c>
      <c r="C15" s="19">
        <v>13</v>
      </c>
      <c r="D15" s="25">
        <f t="shared" si="1"/>
        <v>46161</v>
      </c>
      <c r="E15" s="18">
        <f t="shared" ca="1" si="7"/>
        <v>2567.8100000000004</v>
      </c>
      <c r="F15" s="38">
        <f t="shared" ca="1" si="8"/>
        <v>256.77999999999997</v>
      </c>
      <c r="G15" s="37">
        <f t="shared" ca="1" si="3"/>
        <v>-256.77999999999997</v>
      </c>
      <c r="H15" s="26">
        <f t="shared" ca="1" si="4"/>
        <v>-256.77999999999997</v>
      </c>
      <c r="I15" s="26">
        <f t="shared" ca="1" si="5"/>
        <v>2311.0300000000007</v>
      </c>
      <c r="J15" s="6" t="str">
        <f t="shared" ca="1" si="6"/>
        <v>Perdió stop</v>
      </c>
      <c r="K15" s="10" t="s">
        <v>31</v>
      </c>
      <c r="L15" s="20">
        <f ca="1">LOOKUP(2,1/($I$3:$I$60&lt;&gt;""),$I$3:$I$60)</f>
        <v>10147.780000000001</v>
      </c>
    </row>
    <row r="16" spans="1:16" s="1" customFormat="1" ht="20.100000000000001" customHeight="1" x14ac:dyDescent="0.25">
      <c r="A16" s="27">
        <f t="shared" ca="1" si="0"/>
        <v>0.38200552624973205</v>
      </c>
      <c r="B16" s="24">
        <f t="shared" ca="1" si="2"/>
        <v>18</v>
      </c>
      <c r="C16" s="19">
        <v>14</v>
      </c>
      <c r="D16" s="25">
        <f t="shared" si="1"/>
        <v>46162</v>
      </c>
      <c r="E16" s="18">
        <f t="shared" ca="1" si="7"/>
        <v>2311.0300000000007</v>
      </c>
      <c r="F16" s="38">
        <f t="shared" ca="1" si="8"/>
        <v>231.1</v>
      </c>
      <c r="G16" s="37">
        <f t="shared" ca="1" si="3"/>
        <v>462.2</v>
      </c>
      <c r="H16" s="26">
        <f t="shared" ca="1" si="4"/>
        <v>231.1</v>
      </c>
      <c r="I16" s="26">
        <f t="shared" ca="1" si="5"/>
        <v>2542.1300000000006</v>
      </c>
      <c r="J16" s="6" t="str">
        <f t="shared" ca="1" si="6"/>
        <v>Ganó limit</v>
      </c>
      <c r="K16" s="10" t="s">
        <v>32</v>
      </c>
      <c r="L16" s="21">
        <f>ROUND($L$10*$L$6,0)</f>
        <v>42</v>
      </c>
    </row>
    <row r="17" spans="1:12" s="1" customFormat="1" ht="20.100000000000001" customHeight="1" x14ac:dyDescent="0.25">
      <c r="A17" s="27">
        <f t="shared" ca="1" si="0"/>
        <v>0.46281005823752797</v>
      </c>
      <c r="B17" s="24">
        <f t="shared" ca="1" si="2"/>
        <v>22</v>
      </c>
      <c r="C17" s="19">
        <v>15</v>
      </c>
      <c r="D17" s="25">
        <f t="shared" si="1"/>
        <v>46163</v>
      </c>
      <c r="E17" s="18">
        <f t="shared" ca="1" si="7"/>
        <v>2542.1300000000006</v>
      </c>
      <c r="F17" s="38">
        <f t="shared" ca="1" si="8"/>
        <v>254.21</v>
      </c>
      <c r="G17" s="37">
        <f t="shared" ca="1" si="3"/>
        <v>508.42</v>
      </c>
      <c r="H17" s="26">
        <f t="shared" ca="1" si="4"/>
        <v>254.21</v>
      </c>
      <c r="I17" s="26">
        <f t="shared" ca="1" si="5"/>
        <v>2796.3400000000006</v>
      </c>
      <c r="J17" s="6" t="str">
        <f t="shared" ca="1" si="6"/>
        <v>Ganó limit</v>
      </c>
      <c r="K17" s="11" t="s">
        <v>33</v>
      </c>
      <c r="L17" s="22">
        <f>$L$10-L16</f>
        <v>18</v>
      </c>
    </row>
    <row r="18" spans="1:12" s="1" customFormat="1" ht="18" customHeight="1" x14ac:dyDescent="0.25">
      <c r="A18" s="27">
        <f t="shared" ca="1" si="0"/>
        <v>0.63540873469434345</v>
      </c>
      <c r="B18" s="24">
        <f t="shared" ca="1" si="2"/>
        <v>27</v>
      </c>
      <c r="C18" s="19">
        <v>16</v>
      </c>
      <c r="D18" s="25">
        <f t="shared" si="1"/>
        <v>46164</v>
      </c>
      <c r="E18" s="18">
        <f t="shared" ca="1" si="7"/>
        <v>2796.3400000000006</v>
      </c>
      <c r="F18" s="38">
        <f t="shared" ca="1" si="8"/>
        <v>279.63</v>
      </c>
      <c r="G18" s="37">
        <f t="shared" ca="1" si="3"/>
        <v>559.26</v>
      </c>
      <c r="H18" s="26">
        <f t="shared" ca="1" si="4"/>
        <v>279.63</v>
      </c>
      <c r="I18" s="26">
        <f t="shared" ca="1" si="5"/>
        <v>3075.9700000000007</v>
      </c>
      <c r="J18" s="6" t="str">
        <f t="shared" ca="1" si="6"/>
        <v>Ganó limit</v>
      </c>
    </row>
    <row r="19" spans="1:12" s="1" customFormat="1" ht="18" customHeight="1" x14ac:dyDescent="0.25">
      <c r="A19" s="27">
        <f t="shared" ca="1" si="0"/>
        <v>0.75316309249511182</v>
      </c>
      <c r="B19" s="24">
        <f t="shared" ca="1" si="2"/>
        <v>36</v>
      </c>
      <c r="C19" s="19">
        <v>17</v>
      </c>
      <c r="D19" s="25">
        <f t="shared" si="1"/>
        <v>46167</v>
      </c>
      <c r="E19" s="18">
        <f t="shared" ca="1" si="7"/>
        <v>3075.9700000000007</v>
      </c>
      <c r="F19" s="38">
        <f t="shared" ca="1" si="8"/>
        <v>307.60000000000002</v>
      </c>
      <c r="G19" s="37">
        <f t="shared" ca="1" si="3"/>
        <v>615.20000000000005</v>
      </c>
      <c r="H19" s="26">
        <f t="shared" ca="1" si="4"/>
        <v>307.60000000000002</v>
      </c>
      <c r="I19" s="26">
        <f t="shared" ca="1" si="5"/>
        <v>3383.5700000000006</v>
      </c>
      <c r="J19" s="6" t="str">
        <f t="shared" ca="1" si="6"/>
        <v>Ganó limit</v>
      </c>
    </row>
    <row r="20" spans="1:12" s="1" customFormat="1" ht="18" customHeight="1" x14ac:dyDescent="0.25">
      <c r="A20" s="27">
        <f t="shared" ca="1" si="0"/>
        <v>0.88248278001656877</v>
      </c>
      <c r="B20" s="24">
        <f t="shared" ca="1" si="2"/>
        <v>48</v>
      </c>
      <c r="C20" s="19">
        <v>18</v>
      </c>
      <c r="D20" s="25">
        <f t="shared" si="1"/>
        <v>46168</v>
      </c>
      <c r="E20" s="18">
        <f t="shared" ca="1" si="7"/>
        <v>3383.5700000000006</v>
      </c>
      <c r="F20" s="38">
        <f t="shared" ca="1" si="8"/>
        <v>338.36</v>
      </c>
      <c r="G20" s="37">
        <f t="shared" ca="1" si="3"/>
        <v>-338.36</v>
      </c>
      <c r="H20" s="26">
        <f t="shared" ca="1" si="4"/>
        <v>-338.36</v>
      </c>
      <c r="I20" s="26">
        <f t="shared" ca="1" si="5"/>
        <v>3045.2100000000005</v>
      </c>
      <c r="J20" s="6" t="str">
        <f t="shared" ca="1" si="6"/>
        <v>Perdió stop</v>
      </c>
    </row>
    <row r="21" spans="1:12" s="1" customFormat="1" ht="18" customHeight="1" x14ac:dyDescent="0.25">
      <c r="A21" s="27">
        <f t="shared" ca="1" si="0"/>
        <v>0.69616912547091081</v>
      </c>
      <c r="B21" s="24">
        <f t="shared" ca="1" si="2"/>
        <v>32</v>
      </c>
      <c r="C21" s="19">
        <v>19</v>
      </c>
      <c r="D21" s="25">
        <f t="shared" si="1"/>
        <v>46169</v>
      </c>
      <c r="E21" s="18">
        <f t="shared" ca="1" si="7"/>
        <v>3045.2100000000005</v>
      </c>
      <c r="F21" s="38">
        <f t="shared" ca="1" si="8"/>
        <v>304.52</v>
      </c>
      <c r="G21" s="37">
        <f t="shared" ca="1" si="3"/>
        <v>609.04</v>
      </c>
      <c r="H21" s="26">
        <f t="shared" ca="1" si="4"/>
        <v>304.52</v>
      </c>
      <c r="I21" s="26">
        <f t="shared" ca="1" si="5"/>
        <v>3349.7300000000005</v>
      </c>
      <c r="J21" s="6" t="str">
        <f t="shared" ca="1" si="6"/>
        <v>Ganó limit</v>
      </c>
    </row>
    <row r="22" spans="1:12" s="1" customFormat="1" ht="18" customHeight="1" x14ac:dyDescent="0.25">
      <c r="A22" s="27">
        <f t="shared" ca="1" si="0"/>
        <v>0.79810762368945032</v>
      </c>
      <c r="B22" s="24">
        <f t="shared" ca="1" si="2"/>
        <v>38</v>
      </c>
      <c r="C22" s="19">
        <v>20</v>
      </c>
      <c r="D22" s="25">
        <f t="shared" si="1"/>
        <v>46170</v>
      </c>
      <c r="E22" s="18">
        <f t="shared" ca="1" si="7"/>
        <v>3349.7300000000005</v>
      </c>
      <c r="F22" s="38">
        <f t="shared" ca="1" si="8"/>
        <v>334.97</v>
      </c>
      <c r="G22" s="37">
        <f t="shared" ca="1" si="3"/>
        <v>669.94</v>
      </c>
      <c r="H22" s="26">
        <f t="shared" ca="1" si="4"/>
        <v>334.97</v>
      </c>
      <c r="I22" s="26">
        <f t="shared" ca="1" si="5"/>
        <v>3684.7000000000007</v>
      </c>
      <c r="J22" s="6" t="str">
        <f t="shared" ca="1" si="6"/>
        <v>Ganó limit</v>
      </c>
    </row>
    <row r="23" spans="1:12" s="1" customFormat="1" ht="18" customHeight="1" x14ac:dyDescent="0.25">
      <c r="A23" s="27">
        <f t="shared" ca="1" si="0"/>
        <v>0.9448047006753636</v>
      </c>
      <c r="B23" s="24">
        <f t="shared" ca="1" si="2"/>
        <v>54</v>
      </c>
      <c r="C23" s="19">
        <v>21</v>
      </c>
      <c r="D23" s="25">
        <f t="shared" si="1"/>
        <v>46171</v>
      </c>
      <c r="E23" s="18">
        <f t="shared" ca="1" si="7"/>
        <v>3684.7000000000007</v>
      </c>
      <c r="F23" s="38">
        <f t="shared" ca="1" si="8"/>
        <v>368.47</v>
      </c>
      <c r="G23" s="37">
        <f t="shared" ca="1" si="3"/>
        <v>-368.47</v>
      </c>
      <c r="H23" s="26">
        <f t="shared" ca="1" si="4"/>
        <v>-368.47</v>
      </c>
      <c r="I23" s="26">
        <f t="shared" ca="1" si="5"/>
        <v>3316.2300000000005</v>
      </c>
      <c r="J23" s="6" t="str">
        <f t="shared" ca="1" si="6"/>
        <v>Perdió stop</v>
      </c>
    </row>
    <row r="24" spans="1:12" s="1" customFormat="1" ht="18" customHeight="1" x14ac:dyDescent="0.25">
      <c r="A24" s="27">
        <f t="shared" ca="1" si="0"/>
        <v>4.1857265691437773E-2</v>
      </c>
      <c r="B24" s="24">
        <f t="shared" ca="1" si="2"/>
        <v>1</v>
      </c>
      <c r="C24" s="19">
        <v>22</v>
      </c>
      <c r="D24" s="25">
        <f t="shared" si="1"/>
        <v>46174</v>
      </c>
      <c r="E24" s="18">
        <f t="shared" ca="1" si="7"/>
        <v>3316.2300000000005</v>
      </c>
      <c r="F24" s="38">
        <f t="shared" ca="1" si="8"/>
        <v>331.62</v>
      </c>
      <c r="G24" s="37">
        <f t="shared" ca="1" si="3"/>
        <v>663.24</v>
      </c>
      <c r="H24" s="26">
        <f t="shared" ca="1" si="4"/>
        <v>331.62</v>
      </c>
      <c r="I24" s="26">
        <f t="shared" ca="1" si="5"/>
        <v>3647.8500000000004</v>
      </c>
      <c r="J24" s="6" t="str">
        <f t="shared" ca="1" si="6"/>
        <v>Ganó limit</v>
      </c>
    </row>
    <row r="25" spans="1:12" s="1" customFormat="1" ht="18" customHeight="1" x14ac:dyDescent="0.25">
      <c r="A25" s="27">
        <f t="shared" ca="1" si="0"/>
        <v>0.13569917566592826</v>
      </c>
      <c r="B25" s="24">
        <f t="shared" ca="1" si="2"/>
        <v>6</v>
      </c>
      <c r="C25" s="19">
        <v>23</v>
      </c>
      <c r="D25" s="25">
        <f t="shared" si="1"/>
        <v>46175</v>
      </c>
      <c r="E25" s="18">
        <f t="shared" ca="1" si="7"/>
        <v>3647.8500000000004</v>
      </c>
      <c r="F25" s="38">
        <f t="shared" ca="1" si="8"/>
        <v>364.79</v>
      </c>
      <c r="G25" s="37">
        <f t="shared" ca="1" si="3"/>
        <v>729.58</v>
      </c>
      <c r="H25" s="26">
        <f t="shared" ca="1" si="4"/>
        <v>364.79</v>
      </c>
      <c r="I25" s="26">
        <f t="shared" ca="1" si="5"/>
        <v>4012.6400000000003</v>
      </c>
      <c r="J25" s="6" t="str">
        <f t="shared" ca="1" si="6"/>
        <v>Ganó limit</v>
      </c>
    </row>
    <row r="26" spans="1:12" s="1" customFormat="1" ht="18" customHeight="1" x14ac:dyDescent="0.25">
      <c r="A26" s="27">
        <f t="shared" ca="1" si="0"/>
        <v>0.31776785659503726</v>
      </c>
      <c r="B26" s="24">
        <f t="shared" ca="1" si="2"/>
        <v>12</v>
      </c>
      <c r="C26" s="19">
        <v>24</v>
      </c>
      <c r="D26" s="25">
        <f t="shared" si="1"/>
        <v>46176</v>
      </c>
      <c r="E26" s="18">
        <f t="shared" ca="1" si="7"/>
        <v>4012.6400000000003</v>
      </c>
      <c r="F26" s="38">
        <f t="shared" ca="1" si="8"/>
        <v>401.26</v>
      </c>
      <c r="G26" s="37">
        <f t="shared" ca="1" si="3"/>
        <v>802.52</v>
      </c>
      <c r="H26" s="26">
        <f t="shared" ca="1" si="4"/>
        <v>401.26</v>
      </c>
      <c r="I26" s="26">
        <f t="shared" ca="1" si="5"/>
        <v>4413.9000000000005</v>
      </c>
      <c r="J26" s="6" t="str">
        <f t="shared" ca="1" si="6"/>
        <v>Ganó limit</v>
      </c>
    </row>
    <row r="27" spans="1:12" s="1" customFormat="1" ht="18" customHeight="1" x14ac:dyDescent="0.25">
      <c r="A27" s="27">
        <f t="shared" ca="1" si="0"/>
        <v>0.93121109333817098</v>
      </c>
      <c r="B27" s="24">
        <f t="shared" ca="1" si="2"/>
        <v>53</v>
      </c>
      <c r="C27" s="19">
        <v>25</v>
      </c>
      <c r="D27" s="25">
        <f t="shared" si="1"/>
        <v>46177</v>
      </c>
      <c r="E27" s="18">
        <f t="shared" ca="1" si="7"/>
        <v>4413.9000000000005</v>
      </c>
      <c r="F27" s="38">
        <f t="shared" ca="1" si="8"/>
        <v>441.39</v>
      </c>
      <c r="G27" s="37">
        <f t="shared" ca="1" si="3"/>
        <v>-441.39</v>
      </c>
      <c r="H27" s="26">
        <f t="shared" ca="1" si="4"/>
        <v>-441.39</v>
      </c>
      <c r="I27" s="26">
        <f t="shared" ca="1" si="5"/>
        <v>3972.5100000000007</v>
      </c>
      <c r="J27" s="6" t="str">
        <f t="shared" ca="1" si="6"/>
        <v>Perdió stop</v>
      </c>
    </row>
    <row r="28" spans="1:12" s="1" customFormat="1" ht="18" customHeight="1" x14ac:dyDescent="0.25">
      <c r="A28" s="27">
        <f t="shared" ca="1" si="0"/>
        <v>0.88081662102007774</v>
      </c>
      <c r="B28" s="24">
        <f t="shared" ca="1" si="2"/>
        <v>47</v>
      </c>
      <c r="C28" s="19">
        <v>26</v>
      </c>
      <c r="D28" s="25">
        <f t="shared" si="1"/>
        <v>46178</v>
      </c>
      <c r="E28" s="18">
        <f t="shared" ca="1" si="7"/>
        <v>3972.5100000000007</v>
      </c>
      <c r="F28" s="38">
        <f t="shared" ca="1" si="8"/>
        <v>397.25</v>
      </c>
      <c r="G28" s="37">
        <f t="shared" ca="1" si="3"/>
        <v>-397.25</v>
      </c>
      <c r="H28" s="26">
        <f t="shared" ca="1" si="4"/>
        <v>-397.25</v>
      </c>
      <c r="I28" s="26">
        <f t="shared" ca="1" si="5"/>
        <v>3575.2600000000007</v>
      </c>
      <c r="J28" s="6" t="str">
        <f t="shared" ca="1" si="6"/>
        <v>Perdió stop</v>
      </c>
    </row>
    <row r="29" spans="1:12" s="1" customFormat="1" ht="18" customHeight="1" x14ac:dyDescent="0.25">
      <c r="A29" s="27">
        <f t="shared" ca="1" si="0"/>
        <v>0.68706558951027696</v>
      </c>
      <c r="B29" s="24">
        <f t="shared" ca="1" si="2"/>
        <v>31</v>
      </c>
      <c r="C29" s="19">
        <v>27</v>
      </c>
      <c r="D29" s="25">
        <f t="shared" si="1"/>
        <v>46181</v>
      </c>
      <c r="E29" s="18">
        <f t="shared" ca="1" si="7"/>
        <v>3575.2600000000007</v>
      </c>
      <c r="F29" s="38">
        <f t="shared" ca="1" si="8"/>
        <v>357.53</v>
      </c>
      <c r="G29" s="37">
        <f t="shared" ca="1" si="3"/>
        <v>715.06</v>
      </c>
      <c r="H29" s="26">
        <f t="shared" ca="1" si="4"/>
        <v>357.53</v>
      </c>
      <c r="I29" s="26">
        <f t="shared" ca="1" si="5"/>
        <v>3932.7900000000009</v>
      </c>
      <c r="J29" s="6" t="str">
        <f t="shared" ca="1" si="6"/>
        <v>Ganó limit</v>
      </c>
    </row>
    <row r="30" spans="1:12" s="1" customFormat="1" ht="18" customHeight="1" x14ac:dyDescent="0.25">
      <c r="A30" s="27">
        <f t="shared" ca="1" si="0"/>
        <v>0.63493643629570595</v>
      </c>
      <c r="B30" s="24">
        <f t="shared" ca="1" si="2"/>
        <v>26</v>
      </c>
      <c r="C30" s="19">
        <v>28</v>
      </c>
      <c r="D30" s="25">
        <f t="shared" si="1"/>
        <v>46182</v>
      </c>
      <c r="E30" s="18">
        <f t="shared" ca="1" si="7"/>
        <v>3932.7900000000009</v>
      </c>
      <c r="F30" s="38">
        <f t="shared" ca="1" si="8"/>
        <v>393.28</v>
      </c>
      <c r="G30" s="37">
        <f t="shared" ca="1" si="3"/>
        <v>786.56</v>
      </c>
      <c r="H30" s="26">
        <f t="shared" ca="1" si="4"/>
        <v>393.28</v>
      </c>
      <c r="I30" s="26">
        <f t="shared" ca="1" si="5"/>
        <v>4326.0700000000006</v>
      </c>
      <c r="J30" s="6" t="str">
        <f t="shared" ca="1" si="6"/>
        <v>Ganó limit</v>
      </c>
    </row>
    <row r="31" spans="1:12" s="1" customFormat="1" ht="18" customHeight="1" x14ac:dyDescent="0.25">
      <c r="A31" s="27">
        <f t="shared" ca="1" si="0"/>
        <v>0.96181379167221759</v>
      </c>
      <c r="B31" s="24">
        <f t="shared" ca="1" si="2"/>
        <v>55</v>
      </c>
      <c r="C31" s="19">
        <v>29</v>
      </c>
      <c r="D31" s="25">
        <f t="shared" si="1"/>
        <v>46183</v>
      </c>
      <c r="E31" s="18">
        <f t="shared" ca="1" si="7"/>
        <v>4326.0700000000006</v>
      </c>
      <c r="F31" s="38">
        <f t="shared" ca="1" si="8"/>
        <v>432.61</v>
      </c>
      <c r="G31" s="37">
        <f t="shared" ca="1" si="3"/>
        <v>-432.61</v>
      </c>
      <c r="H31" s="26">
        <f t="shared" ca="1" si="4"/>
        <v>-432.61</v>
      </c>
      <c r="I31" s="26">
        <f t="shared" ca="1" si="5"/>
        <v>3893.4600000000005</v>
      </c>
      <c r="J31" s="6" t="str">
        <f t="shared" ca="1" si="6"/>
        <v>Perdió stop</v>
      </c>
    </row>
    <row r="32" spans="1:12" s="1" customFormat="1" ht="18" customHeight="1" x14ac:dyDescent="0.25">
      <c r="A32" s="27">
        <f t="shared" ca="1" si="0"/>
        <v>0.9099495906490187</v>
      </c>
      <c r="B32" s="24">
        <f t="shared" ca="1" si="2"/>
        <v>52</v>
      </c>
      <c r="C32" s="19">
        <v>30</v>
      </c>
      <c r="D32" s="25">
        <f t="shared" si="1"/>
        <v>46184</v>
      </c>
      <c r="E32" s="18">
        <f t="shared" ca="1" si="7"/>
        <v>3893.4600000000005</v>
      </c>
      <c r="F32" s="38">
        <f t="shared" ca="1" si="8"/>
        <v>389.35</v>
      </c>
      <c r="G32" s="37">
        <f t="shared" ca="1" si="3"/>
        <v>-389.35</v>
      </c>
      <c r="H32" s="26">
        <f t="shared" ca="1" si="4"/>
        <v>-389.35</v>
      </c>
      <c r="I32" s="26">
        <f t="shared" ca="1" si="5"/>
        <v>3504.1100000000006</v>
      </c>
      <c r="J32" s="6" t="str">
        <f t="shared" ca="1" si="6"/>
        <v>Perdió stop</v>
      </c>
    </row>
    <row r="33" spans="1:10" s="1" customFormat="1" ht="18" customHeight="1" x14ac:dyDescent="0.25">
      <c r="A33" s="27">
        <f t="shared" ca="1" si="0"/>
        <v>0.25610255737764098</v>
      </c>
      <c r="B33" s="24">
        <f t="shared" ca="1" si="2"/>
        <v>9</v>
      </c>
      <c r="C33" s="19">
        <v>31</v>
      </c>
      <c r="D33" s="25">
        <f t="shared" si="1"/>
        <v>46185</v>
      </c>
      <c r="E33" s="18">
        <f t="shared" ca="1" si="7"/>
        <v>3504.1100000000006</v>
      </c>
      <c r="F33" s="38">
        <f t="shared" ca="1" si="8"/>
        <v>350.41</v>
      </c>
      <c r="G33" s="37">
        <f t="shared" ca="1" si="3"/>
        <v>700.82</v>
      </c>
      <c r="H33" s="26">
        <f t="shared" ca="1" si="4"/>
        <v>350.41</v>
      </c>
      <c r="I33" s="26">
        <f t="shared" ca="1" si="5"/>
        <v>3854.5200000000004</v>
      </c>
      <c r="J33" s="6" t="str">
        <f t="shared" ca="1" si="6"/>
        <v>Ganó limit</v>
      </c>
    </row>
    <row r="34" spans="1:10" s="1" customFormat="1" ht="18" customHeight="1" x14ac:dyDescent="0.25">
      <c r="A34" s="27">
        <f t="shared" ca="1" si="0"/>
        <v>0.26297402443037077</v>
      </c>
      <c r="B34" s="24">
        <f t="shared" ca="1" si="2"/>
        <v>10</v>
      </c>
      <c r="C34" s="19">
        <v>32</v>
      </c>
      <c r="D34" s="25">
        <f t="shared" si="1"/>
        <v>46188</v>
      </c>
      <c r="E34" s="18">
        <f t="shared" ca="1" si="7"/>
        <v>3854.5200000000004</v>
      </c>
      <c r="F34" s="38">
        <f t="shared" ca="1" si="8"/>
        <v>385.45</v>
      </c>
      <c r="G34" s="37">
        <f t="shared" ca="1" si="3"/>
        <v>770.9</v>
      </c>
      <c r="H34" s="26">
        <f t="shared" ca="1" si="4"/>
        <v>385.45</v>
      </c>
      <c r="I34" s="26">
        <f t="shared" ca="1" si="5"/>
        <v>4239.97</v>
      </c>
      <c r="J34" s="6" t="str">
        <f t="shared" ca="1" si="6"/>
        <v>Ganó limit</v>
      </c>
    </row>
    <row r="35" spans="1:10" s="1" customFormat="1" ht="18" customHeight="1" x14ac:dyDescent="0.25">
      <c r="A35" s="27">
        <f t="shared" ca="1" si="0"/>
        <v>0.82283646603294136</v>
      </c>
      <c r="B35" s="24">
        <f t="shared" ref="B35:B60" ca="1" si="9">RANK(A35,$A$3:$A$60,1)</f>
        <v>40</v>
      </c>
      <c r="C35" s="19">
        <v>33</v>
      </c>
      <c r="D35" s="25">
        <f t="shared" si="1"/>
        <v>46189</v>
      </c>
      <c r="E35" s="18">
        <f t="shared" ca="1" si="7"/>
        <v>4239.97</v>
      </c>
      <c r="F35" s="38">
        <f t="shared" ca="1" si="8"/>
        <v>424</v>
      </c>
      <c r="G35" s="37">
        <f t="shared" ca="1" si="3"/>
        <v>848</v>
      </c>
      <c r="H35" s="26">
        <f t="shared" ca="1" si="4"/>
        <v>424</v>
      </c>
      <c r="I35" s="26">
        <f t="shared" ca="1" si="5"/>
        <v>4663.97</v>
      </c>
      <c r="J35" s="6" t="str">
        <f t="shared" ca="1" si="6"/>
        <v>Ganó limit</v>
      </c>
    </row>
    <row r="36" spans="1:10" s="1" customFormat="1" ht="18" customHeight="1" x14ac:dyDescent="0.25">
      <c r="A36" s="27">
        <f t="shared" ca="1" si="0"/>
        <v>0.47922514785645376</v>
      </c>
      <c r="B36" s="24">
        <f t="shared" ca="1" si="9"/>
        <v>23</v>
      </c>
      <c r="C36" s="19">
        <v>34</v>
      </c>
      <c r="D36" s="25">
        <f t="shared" si="1"/>
        <v>46190</v>
      </c>
      <c r="E36" s="18">
        <f t="shared" ca="1" si="7"/>
        <v>4663.97</v>
      </c>
      <c r="F36" s="38">
        <f t="shared" ca="1" si="8"/>
        <v>466.4</v>
      </c>
      <c r="G36" s="37">
        <f t="shared" ca="1" si="3"/>
        <v>932.8</v>
      </c>
      <c r="H36" s="26">
        <f t="shared" ca="1" si="4"/>
        <v>466.4</v>
      </c>
      <c r="I36" s="26">
        <f t="shared" ca="1" si="5"/>
        <v>5130.37</v>
      </c>
      <c r="J36" s="6" t="str">
        <f t="shared" ca="1" si="6"/>
        <v>Ganó limit</v>
      </c>
    </row>
    <row r="37" spans="1:10" s="1" customFormat="1" ht="18" customHeight="1" x14ac:dyDescent="0.25">
      <c r="A37" s="27">
        <f t="shared" ca="1" si="0"/>
        <v>0.98090413760605166</v>
      </c>
      <c r="B37" s="24">
        <f t="shared" ca="1" si="9"/>
        <v>58</v>
      </c>
      <c r="C37" s="19">
        <v>35</v>
      </c>
      <c r="D37" s="25">
        <f t="shared" si="1"/>
        <v>46191</v>
      </c>
      <c r="E37" s="18">
        <f t="shared" ca="1" si="7"/>
        <v>5130.37</v>
      </c>
      <c r="F37" s="38">
        <f t="shared" ca="1" si="8"/>
        <v>513.04</v>
      </c>
      <c r="G37" s="37">
        <f t="shared" ca="1" si="3"/>
        <v>-513.04</v>
      </c>
      <c r="H37" s="26">
        <f t="shared" ca="1" si="4"/>
        <v>-513.04</v>
      </c>
      <c r="I37" s="26">
        <f t="shared" ca="1" si="5"/>
        <v>4617.33</v>
      </c>
      <c r="J37" s="6" t="str">
        <f t="shared" ca="1" si="6"/>
        <v>Perdió stop</v>
      </c>
    </row>
    <row r="38" spans="1:10" s="1" customFormat="1" ht="18" customHeight="1" x14ac:dyDescent="0.25">
      <c r="A38" s="27">
        <f t="shared" ca="1" si="0"/>
        <v>0.7135560848831094</v>
      </c>
      <c r="B38" s="24">
        <f t="shared" ca="1" si="9"/>
        <v>33</v>
      </c>
      <c r="C38" s="19">
        <v>36</v>
      </c>
      <c r="D38" s="25">
        <f t="shared" si="1"/>
        <v>46192</v>
      </c>
      <c r="E38" s="18">
        <f t="shared" ca="1" si="7"/>
        <v>4617.33</v>
      </c>
      <c r="F38" s="38">
        <f t="shared" ca="1" si="8"/>
        <v>461.73</v>
      </c>
      <c r="G38" s="37">
        <f t="shared" ca="1" si="3"/>
        <v>923.46</v>
      </c>
      <c r="H38" s="26">
        <f t="shared" ca="1" si="4"/>
        <v>461.73</v>
      </c>
      <c r="I38" s="26">
        <f t="shared" ca="1" si="5"/>
        <v>5079.0599999999995</v>
      </c>
      <c r="J38" s="6" t="str">
        <f t="shared" ca="1" si="6"/>
        <v>Ganó limit</v>
      </c>
    </row>
    <row r="39" spans="1:10" s="1" customFormat="1" ht="18" customHeight="1" x14ac:dyDescent="0.25">
      <c r="A39" s="27">
        <f t="shared" ca="1" si="0"/>
        <v>0.42449218654898824</v>
      </c>
      <c r="B39" s="24">
        <f t="shared" ca="1" si="9"/>
        <v>20</v>
      </c>
      <c r="C39" s="19">
        <v>37</v>
      </c>
      <c r="D39" s="25">
        <f t="shared" si="1"/>
        <v>46195</v>
      </c>
      <c r="E39" s="18">
        <f t="shared" ca="1" si="7"/>
        <v>5079.0599999999995</v>
      </c>
      <c r="F39" s="38">
        <f t="shared" ca="1" si="8"/>
        <v>507.91</v>
      </c>
      <c r="G39" s="37">
        <f t="shared" ca="1" si="3"/>
        <v>1015.82</v>
      </c>
      <c r="H39" s="26">
        <f t="shared" ca="1" si="4"/>
        <v>507.91</v>
      </c>
      <c r="I39" s="26">
        <f t="shared" ca="1" si="5"/>
        <v>5586.9699999999993</v>
      </c>
      <c r="J39" s="6" t="str">
        <f t="shared" ca="1" si="6"/>
        <v>Ganó limit</v>
      </c>
    </row>
    <row r="40" spans="1:10" s="1" customFormat="1" ht="18" customHeight="1" x14ac:dyDescent="0.25">
      <c r="A40" s="27">
        <f t="shared" ca="1" si="0"/>
        <v>0.3697187090182108</v>
      </c>
      <c r="B40" s="24">
        <f t="shared" ca="1" si="9"/>
        <v>16</v>
      </c>
      <c r="C40" s="19">
        <v>38</v>
      </c>
      <c r="D40" s="25">
        <f t="shared" si="1"/>
        <v>46196</v>
      </c>
      <c r="E40" s="18">
        <f t="shared" ca="1" si="7"/>
        <v>5586.9699999999993</v>
      </c>
      <c r="F40" s="38">
        <f t="shared" ca="1" si="8"/>
        <v>558.70000000000005</v>
      </c>
      <c r="G40" s="37">
        <f t="shared" ca="1" si="3"/>
        <v>1117.4000000000001</v>
      </c>
      <c r="H40" s="26">
        <f t="shared" ca="1" si="4"/>
        <v>558.70000000000005</v>
      </c>
      <c r="I40" s="26">
        <f t="shared" ca="1" si="5"/>
        <v>6145.6699999999992</v>
      </c>
      <c r="J40" s="6" t="str">
        <f t="shared" ca="1" si="6"/>
        <v>Ganó limit</v>
      </c>
    </row>
    <row r="41" spans="1:10" s="1" customFormat="1" ht="18" customHeight="1" x14ac:dyDescent="0.25">
      <c r="A41" s="27">
        <f t="shared" ca="1" si="0"/>
        <v>0.89412214290142522</v>
      </c>
      <c r="B41" s="24">
        <f t="shared" ca="1" si="9"/>
        <v>50</v>
      </c>
      <c r="C41" s="19">
        <v>39</v>
      </c>
      <c r="D41" s="25">
        <f t="shared" si="1"/>
        <v>46197</v>
      </c>
      <c r="E41" s="18">
        <f t="shared" ca="1" si="7"/>
        <v>6145.6699999999992</v>
      </c>
      <c r="F41" s="38">
        <f t="shared" ca="1" si="8"/>
        <v>614.57000000000005</v>
      </c>
      <c r="G41" s="37">
        <f t="shared" ca="1" si="3"/>
        <v>-614.57000000000005</v>
      </c>
      <c r="H41" s="26">
        <f t="shared" ca="1" si="4"/>
        <v>-614.57000000000005</v>
      </c>
      <c r="I41" s="26">
        <f t="shared" ca="1" si="5"/>
        <v>5531.0999999999995</v>
      </c>
      <c r="J41" s="6" t="str">
        <f t="shared" ca="1" si="6"/>
        <v>Perdió stop</v>
      </c>
    </row>
    <row r="42" spans="1:10" s="1" customFormat="1" ht="18" customHeight="1" x14ac:dyDescent="0.25">
      <c r="A42" s="27">
        <f t="shared" ca="1" si="0"/>
        <v>0.32978493393636499</v>
      </c>
      <c r="B42" s="24">
        <f t="shared" ca="1" si="9"/>
        <v>13</v>
      </c>
      <c r="C42" s="19">
        <v>40</v>
      </c>
      <c r="D42" s="25">
        <f t="shared" si="1"/>
        <v>46198</v>
      </c>
      <c r="E42" s="18">
        <f t="shared" ca="1" si="7"/>
        <v>5531.0999999999995</v>
      </c>
      <c r="F42" s="38">
        <f t="shared" ca="1" si="8"/>
        <v>553.11</v>
      </c>
      <c r="G42" s="37">
        <f t="shared" ca="1" si="3"/>
        <v>1106.22</v>
      </c>
      <c r="H42" s="26">
        <f t="shared" ca="1" si="4"/>
        <v>553.11</v>
      </c>
      <c r="I42" s="26">
        <f t="shared" ca="1" si="5"/>
        <v>6084.2099999999991</v>
      </c>
      <c r="J42" s="6" t="str">
        <f t="shared" ca="1" si="6"/>
        <v>Ganó limit</v>
      </c>
    </row>
    <row r="43" spans="1:10" s="1" customFormat="1" ht="18" customHeight="1" x14ac:dyDescent="0.25">
      <c r="A43" s="27">
        <f t="shared" ca="1" si="0"/>
        <v>0.2126124540136114</v>
      </c>
      <c r="B43" s="24">
        <f t="shared" ca="1" si="9"/>
        <v>8</v>
      </c>
      <c r="C43" s="19">
        <v>41</v>
      </c>
      <c r="D43" s="25">
        <f t="shared" si="1"/>
        <v>46199</v>
      </c>
      <c r="E43" s="18">
        <f t="shared" ca="1" si="7"/>
        <v>6084.2099999999991</v>
      </c>
      <c r="F43" s="38">
        <f t="shared" ca="1" si="8"/>
        <v>608.41999999999996</v>
      </c>
      <c r="G43" s="37">
        <f t="shared" ca="1" si="3"/>
        <v>1216.8399999999999</v>
      </c>
      <c r="H43" s="26">
        <f t="shared" ca="1" si="4"/>
        <v>608.41999999999996</v>
      </c>
      <c r="I43" s="26">
        <f t="shared" ca="1" si="5"/>
        <v>6692.6299999999992</v>
      </c>
      <c r="J43" s="6" t="str">
        <f t="shared" ca="1" si="6"/>
        <v>Ganó limit</v>
      </c>
    </row>
    <row r="44" spans="1:10" s="1" customFormat="1" ht="18" customHeight="1" x14ac:dyDescent="0.25">
      <c r="A44" s="27">
        <f t="shared" ca="1" si="0"/>
        <v>0.80989490601785019</v>
      </c>
      <c r="B44" s="24">
        <f t="shared" ca="1" si="9"/>
        <v>39</v>
      </c>
      <c r="C44" s="19">
        <v>42</v>
      </c>
      <c r="D44" s="25">
        <f t="shared" si="1"/>
        <v>46202</v>
      </c>
      <c r="E44" s="18">
        <f t="shared" ca="1" si="7"/>
        <v>6692.6299999999992</v>
      </c>
      <c r="F44" s="38">
        <f t="shared" ca="1" si="8"/>
        <v>669.26</v>
      </c>
      <c r="G44" s="37">
        <f t="shared" ca="1" si="3"/>
        <v>1338.52</v>
      </c>
      <c r="H44" s="26">
        <f t="shared" ca="1" si="4"/>
        <v>669.26</v>
      </c>
      <c r="I44" s="26">
        <f t="shared" ca="1" si="5"/>
        <v>7361.8899999999994</v>
      </c>
      <c r="J44" s="6" t="str">
        <f t="shared" ca="1" si="6"/>
        <v>Ganó limit</v>
      </c>
    </row>
    <row r="45" spans="1:10" s="1" customFormat="1" ht="18" customHeight="1" x14ac:dyDescent="0.25">
      <c r="A45" s="27">
        <f t="shared" ca="1" si="0"/>
        <v>0.37830713730835031</v>
      </c>
      <c r="B45" s="24">
        <f t="shared" ca="1" si="9"/>
        <v>17</v>
      </c>
      <c r="C45" s="19">
        <v>43</v>
      </c>
      <c r="D45" s="25">
        <f t="shared" si="1"/>
        <v>46203</v>
      </c>
      <c r="E45" s="18">
        <f t="shared" ca="1" si="7"/>
        <v>7361.8899999999994</v>
      </c>
      <c r="F45" s="38">
        <f t="shared" ca="1" si="8"/>
        <v>736.19</v>
      </c>
      <c r="G45" s="37">
        <f t="shared" ca="1" si="3"/>
        <v>1472.38</v>
      </c>
      <c r="H45" s="26">
        <f t="shared" ca="1" si="4"/>
        <v>736.19</v>
      </c>
      <c r="I45" s="26">
        <f t="shared" ca="1" si="5"/>
        <v>8098.08</v>
      </c>
      <c r="J45" s="6" t="str">
        <f t="shared" ca="1" si="6"/>
        <v>Ganó limit</v>
      </c>
    </row>
    <row r="46" spans="1:10" s="1" customFormat="1" ht="18" customHeight="1" x14ac:dyDescent="0.25">
      <c r="A46" s="27">
        <f t="shared" ca="1" si="0"/>
        <v>0.82419764826652342</v>
      </c>
      <c r="B46" s="24">
        <f t="shared" ca="1" si="9"/>
        <v>41</v>
      </c>
      <c r="C46" s="19">
        <v>44</v>
      </c>
      <c r="D46" s="25">
        <f t="shared" si="1"/>
        <v>46204</v>
      </c>
      <c r="E46" s="18">
        <f t="shared" ca="1" si="7"/>
        <v>8098.08</v>
      </c>
      <c r="F46" s="38">
        <f t="shared" ca="1" si="8"/>
        <v>809.81</v>
      </c>
      <c r="G46" s="37">
        <f t="shared" ca="1" si="3"/>
        <v>1619.62</v>
      </c>
      <c r="H46" s="26">
        <f t="shared" ca="1" si="4"/>
        <v>809.81</v>
      </c>
      <c r="I46" s="26">
        <f t="shared" ca="1" si="5"/>
        <v>8907.89</v>
      </c>
      <c r="J46" s="6" t="str">
        <f t="shared" ca="1" si="6"/>
        <v>Ganó limit</v>
      </c>
    </row>
    <row r="47" spans="1:10" s="1" customFormat="1" ht="18" customHeight="1" x14ac:dyDescent="0.25">
      <c r="A47" s="27">
        <f t="shared" ca="1" si="0"/>
        <v>5.8748147084137115E-2</v>
      </c>
      <c r="B47" s="24">
        <f t="shared" ca="1" si="9"/>
        <v>2</v>
      </c>
      <c r="C47" s="19">
        <v>45</v>
      </c>
      <c r="D47" s="25">
        <f t="shared" si="1"/>
        <v>46205</v>
      </c>
      <c r="E47" s="18">
        <f t="shared" ca="1" si="7"/>
        <v>8907.89</v>
      </c>
      <c r="F47" s="38">
        <f t="shared" ca="1" si="8"/>
        <v>890.79</v>
      </c>
      <c r="G47" s="37">
        <f t="shared" ca="1" si="3"/>
        <v>1781.58</v>
      </c>
      <c r="H47" s="26">
        <f t="shared" ca="1" si="4"/>
        <v>890.79</v>
      </c>
      <c r="I47" s="26">
        <f t="shared" ca="1" si="5"/>
        <v>9798.68</v>
      </c>
      <c r="J47" s="6" t="str">
        <f t="shared" ca="1" si="6"/>
        <v>Ganó limit</v>
      </c>
    </row>
    <row r="48" spans="1:10" s="1" customFormat="1" ht="18" customHeight="1" x14ac:dyDescent="0.25">
      <c r="A48" s="27">
        <f t="shared" ca="1" si="0"/>
        <v>0.89937864401894385</v>
      </c>
      <c r="B48" s="24">
        <f t="shared" ca="1" si="9"/>
        <v>51</v>
      </c>
      <c r="C48" s="19">
        <v>46</v>
      </c>
      <c r="D48" s="25">
        <f t="shared" si="1"/>
        <v>46206</v>
      </c>
      <c r="E48" s="18">
        <f t="shared" ca="1" si="7"/>
        <v>9798.68</v>
      </c>
      <c r="F48" s="38">
        <f t="shared" ca="1" si="8"/>
        <v>979.87</v>
      </c>
      <c r="G48" s="37">
        <f t="shared" ca="1" si="3"/>
        <v>-979.87</v>
      </c>
      <c r="H48" s="26">
        <f t="shared" ca="1" si="4"/>
        <v>-979.87</v>
      </c>
      <c r="I48" s="26">
        <f t="shared" ca="1" si="5"/>
        <v>8818.81</v>
      </c>
      <c r="J48" s="6" t="str">
        <f t="shared" ca="1" si="6"/>
        <v>Perdió stop</v>
      </c>
    </row>
    <row r="49" spans="1:10" s="1" customFormat="1" ht="18" customHeight="1" x14ac:dyDescent="0.25">
      <c r="A49" s="27">
        <f t="shared" ca="1" si="0"/>
        <v>0.41151230380513482</v>
      </c>
      <c r="B49" s="24">
        <f t="shared" ca="1" si="9"/>
        <v>19</v>
      </c>
      <c r="C49" s="19">
        <v>47</v>
      </c>
      <c r="D49" s="25">
        <f t="shared" si="1"/>
        <v>46209</v>
      </c>
      <c r="E49" s="18">
        <f t="shared" ca="1" si="7"/>
        <v>8818.81</v>
      </c>
      <c r="F49" s="38">
        <f t="shared" ca="1" si="8"/>
        <v>881.88</v>
      </c>
      <c r="G49" s="37">
        <f t="shared" ca="1" si="3"/>
        <v>1763.76</v>
      </c>
      <c r="H49" s="26">
        <f t="shared" ca="1" si="4"/>
        <v>881.88</v>
      </c>
      <c r="I49" s="26">
        <f t="shared" ca="1" si="5"/>
        <v>9700.6899999999987</v>
      </c>
      <c r="J49" s="6" t="str">
        <f t="shared" ca="1" si="6"/>
        <v>Ganó limit</v>
      </c>
    </row>
    <row r="50" spans="1:10" s="1" customFormat="1" ht="18" customHeight="1" x14ac:dyDescent="0.25">
      <c r="A50" s="27">
        <f t="shared" ca="1" si="0"/>
        <v>8.1564125954296962E-2</v>
      </c>
      <c r="B50" s="24">
        <f t="shared" ca="1" si="9"/>
        <v>3</v>
      </c>
      <c r="C50" s="19">
        <v>48</v>
      </c>
      <c r="D50" s="25">
        <f t="shared" si="1"/>
        <v>46210</v>
      </c>
      <c r="E50" s="18">
        <f t="shared" ca="1" si="7"/>
        <v>9700.6899999999987</v>
      </c>
      <c r="F50" s="38">
        <f t="shared" ca="1" si="8"/>
        <v>970.07</v>
      </c>
      <c r="G50" s="37">
        <f t="shared" ca="1" si="3"/>
        <v>1940.14</v>
      </c>
      <c r="H50" s="26">
        <f t="shared" ca="1" si="4"/>
        <v>970.07</v>
      </c>
      <c r="I50" s="26">
        <f t="shared" ca="1" si="5"/>
        <v>10670.759999999998</v>
      </c>
      <c r="J50" s="6" t="str">
        <f t="shared" ca="1" si="6"/>
        <v>Ganó limit</v>
      </c>
    </row>
    <row r="51" spans="1:10" s="1" customFormat="1" ht="18" customHeight="1" x14ac:dyDescent="0.25">
      <c r="A51" s="27">
        <f t="shared" ca="1" si="0"/>
        <v>0.87280519310576532</v>
      </c>
      <c r="B51" s="24">
        <f t="shared" ca="1" si="9"/>
        <v>46</v>
      </c>
      <c r="C51" s="19">
        <v>49</v>
      </c>
      <c r="D51" s="25">
        <f t="shared" si="1"/>
        <v>46211</v>
      </c>
      <c r="E51" s="18">
        <f t="shared" ca="1" si="7"/>
        <v>10670.759999999998</v>
      </c>
      <c r="F51" s="38">
        <f t="shared" ca="1" si="8"/>
        <v>1067.08</v>
      </c>
      <c r="G51" s="37">
        <f t="shared" ca="1" si="3"/>
        <v>-1067.08</v>
      </c>
      <c r="H51" s="26">
        <f t="shared" ca="1" si="4"/>
        <v>-1067.08</v>
      </c>
      <c r="I51" s="26">
        <f t="shared" ca="1" si="5"/>
        <v>9603.6799999999985</v>
      </c>
      <c r="J51" s="6" t="str">
        <f t="shared" ca="1" si="6"/>
        <v>Perdió stop</v>
      </c>
    </row>
    <row r="52" spans="1:10" s="1" customFormat="1" ht="18" customHeight="1" x14ac:dyDescent="0.25">
      <c r="A52" s="27">
        <f t="shared" ca="1" si="0"/>
        <v>0.36472140438367884</v>
      </c>
      <c r="B52" s="24">
        <f t="shared" ca="1" si="9"/>
        <v>15</v>
      </c>
      <c r="C52" s="19">
        <v>50</v>
      </c>
      <c r="D52" s="25">
        <f t="shared" si="1"/>
        <v>46212</v>
      </c>
      <c r="E52" s="18">
        <f t="shared" ca="1" si="7"/>
        <v>9603.6799999999985</v>
      </c>
      <c r="F52" s="38">
        <f t="shared" ca="1" si="8"/>
        <v>960.37</v>
      </c>
      <c r="G52" s="37">
        <f t="shared" ca="1" si="3"/>
        <v>1920.74</v>
      </c>
      <c r="H52" s="26">
        <f t="shared" ca="1" si="4"/>
        <v>960.37</v>
      </c>
      <c r="I52" s="26">
        <f t="shared" ca="1" si="5"/>
        <v>10564.05</v>
      </c>
      <c r="J52" s="6" t="str">
        <f t="shared" ca="1" si="6"/>
        <v>Ganó limit</v>
      </c>
    </row>
    <row r="53" spans="1:10" s="1" customFormat="1" ht="18" customHeight="1" x14ac:dyDescent="0.25">
      <c r="A53" s="27">
        <f t="shared" ca="1" si="0"/>
        <v>0.67293378635141121</v>
      </c>
      <c r="B53" s="24">
        <f t="shared" ca="1" si="9"/>
        <v>29</v>
      </c>
      <c r="C53" s="19">
        <v>51</v>
      </c>
      <c r="D53" s="25">
        <f t="shared" si="1"/>
        <v>46213</v>
      </c>
      <c r="E53" s="18">
        <f t="shared" ca="1" si="7"/>
        <v>10564.05</v>
      </c>
      <c r="F53" s="38">
        <f t="shared" ca="1" si="8"/>
        <v>1056.4100000000001</v>
      </c>
      <c r="G53" s="37">
        <f t="shared" ca="1" si="3"/>
        <v>2112.8200000000002</v>
      </c>
      <c r="H53" s="26">
        <f t="shared" ca="1" si="4"/>
        <v>1056.4100000000001</v>
      </c>
      <c r="I53" s="26">
        <f t="shared" ca="1" si="5"/>
        <v>11620.46</v>
      </c>
      <c r="J53" s="6" t="str">
        <f t="shared" ca="1" si="6"/>
        <v>Ganó limit</v>
      </c>
    </row>
    <row r="54" spans="1:10" s="1" customFormat="1" ht="18" customHeight="1" x14ac:dyDescent="0.25">
      <c r="A54" s="27">
        <f t="shared" ca="1" si="0"/>
        <v>0.97459549347492169</v>
      </c>
      <c r="B54" s="24">
        <f t="shared" ca="1" si="9"/>
        <v>57</v>
      </c>
      <c r="C54" s="19">
        <v>52</v>
      </c>
      <c r="D54" s="25">
        <f t="shared" si="1"/>
        <v>46216</v>
      </c>
      <c r="E54" s="18">
        <f t="shared" ca="1" si="7"/>
        <v>11620.46</v>
      </c>
      <c r="F54" s="38">
        <f t="shared" ca="1" si="8"/>
        <v>1162.05</v>
      </c>
      <c r="G54" s="37">
        <f t="shared" ca="1" si="3"/>
        <v>-1162.05</v>
      </c>
      <c r="H54" s="26">
        <f t="shared" ca="1" si="4"/>
        <v>-1162.05</v>
      </c>
      <c r="I54" s="26">
        <f t="shared" ca="1" si="5"/>
        <v>10458.41</v>
      </c>
      <c r="J54" s="6" t="str">
        <f t="shared" ca="1" si="6"/>
        <v>Perdió stop</v>
      </c>
    </row>
    <row r="55" spans="1:10" s="1" customFormat="1" ht="18" customHeight="1" x14ac:dyDescent="0.25">
      <c r="A55" s="27">
        <f t="shared" ca="1" si="0"/>
        <v>0.27073108287556413</v>
      </c>
      <c r="B55" s="24">
        <f t="shared" ca="1" si="9"/>
        <v>11</v>
      </c>
      <c r="C55" s="19">
        <v>53</v>
      </c>
      <c r="D55" s="25">
        <f t="shared" si="1"/>
        <v>46217</v>
      </c>
      <c r="E55" s="18">
        <f t="shared" ca="1" si="7"/>
        <v>10458.41</v>
      </c>
      <c r="F55" s="38">
        <f t="shared" ca="1" si="8"/>
        <v>1045.8399999999999</v>
      </c>
      <c r="G55" s="37">
        <f t="shared" ca="1" si="3"/>
        <v>2091.6799999999998</v>
      </c>
      <c r="H55" s="26">
        <f t="shared" ca="1" si="4"/>
        <v>1045.8399999999999</v>
      </c>
      <c r="I55" s="26">
        <f t="shared" ca="1" si="5"/>
        <v>11504.25</v>
      </c>
      <c r="J55" s="6" t="str">
        <f t="shared" ca="1" si="6"/>
        <v>Ganó limit</v>
      </c>
    </row>
    <row r="56" spans="1:10" s="1" customFormat="1" ht="18" customHeight="1" x14ac:dyDescent="0.25">
      <c r="A56" s="27">
        <f t="shared" ca="1" si="0"/>
        <v>0.83117366489192068</v>
      </c>
      <c r="B56" s="24">
        <f t="shared" ca="1" si="9"/>
        <v>43</v>
      </c>
      <c r="C56" s="19">
        <v>54</v>
      </c>
      <c r="D56" s="25">
        <f t="shared" si="1"/>
        <v>46218</v>
      </c>
      <c r="E56" s="18">
        <f t="shared" ca="1" si="7"/>
        <v>11504.25</v>
      </c>
      <c r="F56" s="38">
        <f t="shared" ca="1" si="8"/>
        <v>1150.43</v>
      </c>
      <c r="G56" s="37">
        <f t="shared" ca="1" si="3"/>
        <v>-1150.43</v>
      </c>
      <c r="H56" s="26">
        <f t="shared" ca="1" si="4"/>
        <v>-1150.43</v>
      </c>
      <c r="I56" s="26">
        <f t="shared" ca="1" si="5"/>
        <v>10353.82</v>
      </c>
      <c r="J56" s="6" t="str">
        <f t="shared" ca="1" si="6"/>
        <v>Perdió stop</v>
      </c>
    </row>
    <row r="57" spans="1:10" s="1" customFormat="1" ht="18" customHeight="1" x14ac:dyDescent="0.25">
      <c r="A57" s="27">
        <f t="shared" ca="1" si="0"/>
        <v>0.73469116058825479</v>
      </c>
      <c r="B57" s="24">
        <f t="shared" ca="1" si="9"/>
        <v>35</v>
      </c>
      <c r="C57" s="19">
        <v>55</v>
      </c>
      <c r="D57" s="25">
        <f t="shared" si="1"/>
        <v>46219</v>
      </c>
      <c r="E57" s="18">
        <f t="shared" ca="1" si="7"/>
        <v>10353.82</v>
      </c>
      <c r="F57" s="38">
        <f t="shared" ca="1" si="8"/>
        <v>1035.3800000000001</v>
      </c>
      <c r="G57" s="37">
        <f t="shared" ca="1" si="3"/>
        <v>2070.7600000000002</v>
      </c>
      <c r="H57" s="26">
        <f t="shared" ca="1" si="4"/>
        <v>1035.3800000000001</v>
      </c>
      <c r="I57" s="26">
        <f t="shared" ca="1" si="5"/>
        <v>11389.2</v>
      </c>
      <c r="J57" s="6" t="str">
        <f t="shared" ca="1" si="6"/>
        <v>Ganó limit</v>
      </c>
    </row>
    <row r="58" spans="1:10" s="1" customFormat="1" ht="18" customHeight="1" x14ac:dyDescent="0.25">
      <c r="A58" s="27">
        <f t="shared" ca="1" si="0"/>
        <v>0.67726929812497461</v>
      </c>
      <c r="B58" s="24">
        <f t="shared" ca="1" si="9"/>
        <v>30</v>
      </c>
      <c r="C58" s="19">
        <v>56</v>
      </c>
      <c r="D58" s="25">
        <f t="shared" si="1"/>
        <v>46220</v>
      </c>
      <c r="E58" s="18">
        <f t="shared" ca="1" si="7"/>
        <v>11389.2</v>
      </c>
      <c r="F58" s="38">
        <f t="shared" ca="1" si="8"/>
        <v>1138.92</v>
      </c>
      <c r="G58" s="37">
        <f t="shared" ca="1" si="3"/>
        <v>2277.84</v>
      </c>
      <c r="H58" s="26">
        <f t="shared" ca="1" si="4"/>
        <v>1138.92</v>
      </c>
      <c r="I58" s="26">
        <f t="shared" ca="1" si="5"/>
        <v>12528.12</v>
      </c>
      <c r="J58" s="6" t="str">
        <f t="shared" ca="1" si="6"/>
        <v>Ganó limit</v>
      </c>
    </row>
    <row r="59" spans="1:10" s="1" customFormat="1" ht="18" customHeight="1" x14ac:dyDescent="0.25">
      <c r="A59" s="27">
        <f t="shared" ca="1" si="0"/>
        <v>0.86978231563112274</v>
      </c>
      <c r="B59" s="24">
        <f t="shared" ca="1" si="9"/>
        <v>45</v>
      </c>
      <c r="C59" s="19">
        <v>57</v>
      </c>
      <c r="D59" s="25">
        <f t="shared" si="1"/>
        <v>46223</v>
      </c>
      <c r="E59" s="18">
        <f t="shared" ca="1" si="7"/>
        <v>12528.12</v>
      </c>
      <c r="F59" s="38">
        <f t="shared" ca="1" si="8"/>
        <v>1252.81</v>
      </c>
      <c r="G59" s="37">
        <f t="shared" ca="1" si="3"/>
        <v>-1252.81</v>
      </c>
      <c r="H59" s="26">
        <f t="shared" ca="1" si="4"/>
        <v>-1252.81</v>
      </c>
      <c r="I59" s="26">
        <f t="shared" ca="1" si="5"/>
        <v>11275.310000000001</v>
      </c>
      <c r="J59" s="6" t="str">
        <f t="shared" ca="1" si="6"/>
        <v>Perdió stop</v>
      </c>
    </row>
    <row r="60" spans="1:10" ht="18" customHeight="1" x14ac:dyDescent="0.25">
      <c r="A60" s="28">
        <f ca="1">RAND()</f>
        <v>0.86743776986247012</v>
      </c>
      <c r="B60" s="29">
        <f t="shared" ca="1" si="9"/>
        <v>44</v>
      </c>
      <c r="C60" s="30">
        <v>58</v>
      </c>
      <c r="D60" s="31">
        <f>WORKDAY($L$2,C60-1)</f>
        <v>46224</v>
      </c>
      <c r="E60" s="18">
        <f t="shared" ca="1" si="7"/>
        <v>11275.310000000001</v>
      </c>
      <c r="F60" s="38">
        <f t="shared" ca="1" si="8"/>
        <v>1127.53</v>
      </c>
      <c r="G60" s="37">
        <f t="shared" ca="1" si="3"/>
        <v>-1127.53</v>
      </c>
      <c r="H60" s="26">
        <f t="shared" ca="1" si="4"/>
        <v>-1127.53</v>
      </c>
      <c r="I60" s="26">
        <f t="shared" ca="1" si="5"/>
        <v>10147.780000000001</v>
      </c>
      <c r="J60" s="6" t="str">
        <f t="shared" ca="1" si="6"/>
        <v>Perdió stop</v>
      </c>
    </row>
    <row r="61" spans="1:10" x14ac:dyDescent="0.35">
      <c r="E61"/>
      <c r="F61"/>
      <c r="G61"/>
      <c r="H61" s="3"/>
      <c r="I61"/>
      <c r="J61"/>
    </row>
  </sheetData>
  <mergeCells count="3">
    <mergeCell ref="A1:I1"/>
    <mergeCell ref="K1:P1"/>
    <mergeCell ref="K12:L12"/>
  </mergeCells>
  <conditionalFormatting sqref="C1 D1:D1048576">
    <cfRule type="cellIs" dxfId="34" priority="7" operator="equal">
      <formula>TODAY()</formula>
    </cfRule>
  </conditionalFormatting>
  <conditionalFormatting sqref="E3:E60">
    <cfRule type="expression" dxfId="33" priority="6">
      <formula>E3&lt;E2</formula>
    </cfRule>
  </conditionalFormatting>
  <conditionalFormatting sqref="G3:G60">
    <cfRule type="containsText" dxfId="32" priority="12" operator="containsText" text="WIN"/>
    <cfRule type="containsText" dxfId="31" priority="13" operator="containsText" text="LOSS"/>
  </conditionalFormatting>
  <conditionalFormatting sqref="H3:H60 H62:H1048576">
    <cfRule type="cellIs" dxfId="30" priority="8" operator="lessThan">
      <formula>0</formula>
    </cfRule>
    <cfRule type="cellIs" dxfId="29" priority="9" operator="greaterThan">
      <formula>0</formula>
    </cfRule>
  </conditionalFormatting>
  <conditionalFormatting sqref="H3:H60">
    <cfRule type="cellIs" dxfId="28" priority="14" operator="lessThan">
      <formula>0</formula>
    </cfRule>
    <cfRule type="cellIs" dxfId="27" priority="15" operator="greaterThan">
      <formula>0</formula>
    </cfRule>
  </conditionalFormatting>
  <conditionalFormatting sqref="H61">
    <cfRule type="cellIs" dxfId="26" priority="1" operator="equal">
      <formula>TODAY()</formula>
    </cfRule>
  </conditionalFormatting>
  <conditionalFormatting sqref="I3:I60">
    <cfRule type="dataBar" priority="16">
      <dataBar>
        <cfvo type="min"/>
        <cfvo type="max"/>
        <color rgb="FF60A5FA"/>
      </dataBar>
    </cfRule>
    <cfRule type="dataBar" priority="17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{2483B68E-0250-8667-2D8C-9806AD33462C}</x14:id>
        </ext>
      </extLst>
    </cfRule>
  </conditionalFormatting>
  <conditionalFormatting sqref="K4 K7">
    <cfRule type="cellIs" dxfId="25" priority="10" operator="lessThan">
      <formula>$K$3</formula>
    </cfRule>
    <cfRule type="cellIs" dxfId="24" priority="11" operator="greaterThan">
      <formula>$K$3</formula>
    </cfRule>
  </conditionalFormatting>
  <conditionalFormatting sqref="K5">
    <cfRule type="cellIs" dxfId="23" priority="2" operator="lessThan">
      <formula>0</formula>
    </cfRule>
    <cfRule type="cellIs" dxfId="22" priority="3" operator="greaterThan">
      <formula>0</formula>
    </cfRule>
  </conditionalFormatting>
  <conditionalFormatting sqref="O8">
    <cfRule type="cellIs" dxfId="21" priority="4" operator="lessThan">
      <formula>$M$7</formula>
    </cfRule>
  </conditionalFormatting>
  <conditionalFormatting sqref="O9">
    <cfRule type="cellIs" dxfId="20" priority="5" operator="greaterThan">
      <formula>0+$M$7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83B68E-0250-8667-2D8C-9806AD33462C}">
            <x14:dataBar>
              <x14:cfvo type="min"/>
              <x14:cfvo type="max"/>
              <x14:negativeFillColor auto="1"/>
              <x14:axisColor auto="1"/>
            </x14:dataBar>
          </x14:cfRule>
          <xm:sqref>I3:I60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EB84-2525-4227-AFEB-C4AC8EA3D6CE}">
  <dimension ref="A1:P61"/>
  <sheetViews>
    <sheetView showGridLines="0" workbookViewId="0">
      <selection sqref="A1:J1"/>
    </sheetView>
  </sheetViews>
  <sheetFormatPr baseColWidth="10" defaultColWidth="9.140625" defaultRowHeight="21" x14ac:dyDescent="0.35"/>
  <cols>
    <col min="1" max="2" width="8" customWidth="1"/>
    <col min="3" max="3" width="9" customWidth="1"/>
    <col min="4" max="4" width="13" style="3" customWidth="1"/>
    <col min="5" max="5" width="14" style="3" customWidth="1"/>
    <col min="6" max="6" width="14" style="4" customWidth="1"/>
    <col min="7" max="7" width="12" style="5" customWidth="1"/>
    <col min="8" max="8" width="16" style="5" customWidth="1"/>
    <col min="9" max="9" width="14" style="5" customWidth="1"/>
    <col min="10" max="10" width="16" style="2" customWidth="1"/>
    <col min="11" max="11" width="23.5703125" bestFit="1" customWidth="1"/>
    <col min="12" max="12" width="15.28515625" customWidth="1"/>
    <col min="13" max="13" width="5.5703125" bestFit="1" customWidth="1"/>
    <col min="14" max="14" width="3" customWidth="1"/>
    <col min="15" max="15" width="38" customWidth="1"/>
    <col min="16" max="16" width="12" customWidth="1"/>
    <col min="17" max="17" width="17" customWidth="1"/>
  </cols>
  <sheetData>
    <row r="1" spans="1:16" ht="20.100000000000001" customHeight="1" x14ac:dyDescent="0.3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84" t="s">
        <v>1</v>
      </c>
      <c r="L1" s="85"/>
      <c r="M1" s="85"/>
      <c r="N1" s="86"/>
      <c r="O1" s="87"/>
      <c r="P1" s="88"/>
    </row>
    <row r="2" spans="1:16" s="1" customFormat="1" ht="20.100000000000001" customHeight="1" x14ac:dyDescent="0.25">
      <c r="A2" s="32" t="s">
        <v>2</v>
      </c>
      <c r="B2" s="33" t="s">
        <v>3</v>
      </c>
      <c r="C2" s="33" t="s">
        <v>4</v>
      </c>
      <c r="D2" s="33" t="s">
        <v>5</v>
      </c>
      <c r="E2" s="33" t="s">
        <v>6</v>
      </c>
      <c r="F2" s="33" t="s">
        <v>35</v>
      </c>
      <c r="G2" s="33" t="s">
        <v>7</v>
      </c>
      <c r="H2" s="33" t="s">
        <v>34</v>
      </c>
      <c r="I2" s="33" t="s">
        <v>8</v>
      </c>
      <c r="J2" s="34" t="s">
        <v>9</v>
      </c>
      <c r="K2" s="10" t="s">
        <v>10</v>
      </c>
      <c r="L2" s="14">
        <v>46143</v>
      </c>
      <c r="M2"/>
      <c r="N2"/>
      <c r="O2" s="12" t="s">
        <v>11</v>
      </c>
      <c r="P2" s="6"/>
    </row>
    <row r="3" spans="1:16" s="1" customFormat="1" ht="20.100000000000001" customHeight="1" x14ac:dyDescent="0.25">
      <c r="A3" s="27">
        <f t="shared" ref="A3:A59" ca="1" si="0">RAND()</f>
        <v>0.58126520108397162</v>
      </c>
      <c r="B3" s="24">
        <f ca="1">RANK(A3,$A$3:$A$60,1)</f>
        <v>37</v>
      </c>
      <c r="C3" s="19">
        <v>1</v>
      </c>
      <c r="D3" s="25">
        <f t="shared" ref="D3:D59" si="1">WORKDAY($L$2,C3-1)</f>
        <v>46143</v>
      </c>
      <c r="E3" s="18">
        <f>IF(C3=1,$L$4,I2)</f>
        <v>5000</v>
      </c>
      <c r="F3" s="38">
        <f>ROUND(E3*$L$5,2)</f>
        <v>2500</v>
      </c>
      <c r="G3" s="37">
        <f t="shared" ref="G3:G11" ca="1" si="2">IF(IF(B3&lt;=ROUND($L$10*$L$6,0),"WIN","LOSS")="LOSS",(F3*(1-$L$8)),(F3*(1+$L$9)))</f>
        <v>2800.0000000000005</v>
      </c>
      <c r="H3" s="26">
        <f ca="1">G3-F3</f>
        <v>300.00000000000045</v>
      </c>
      <c r="I3" s="26">
        <f ca="1">E3+H3</f>
        <v>5300</v>
      </c>
      <c r="J3" s="6" t="str">
        <f t="shared" ref="J3:J12" ca="1" si="3">IF(G3&gt;F3,"Ganó limit","Perdió stop")</f>
        <v>Ganó limit</v>
      </c>
      <c r="K3" s="10" t="s">
        <v>12</v>
      </c>
      <c r="L3" s="35">
        <v>46174</v>
      </c>
      <c r="M3"/>
      <c r="N3"/>
      <c r="O3" s="12" t="s">
        <v>13</v>
      </c>
      <c r="P3" s="6"/>
    </row>
    <row r="4" spans="1:16" s="1" customFormat="1" ht="20.100000000000001" customHeight="1" x14ac:dyDescent="0.25">
      <c r="A4" s="27">
        <f t="shared" ca="1" si="0"/>
        <v>0.85655975710085963</v>
      </c>
      <c r="B4" s="24">
        <f t="shared" ref="B4:B60" ca="1" si="4">RANK(A4,$A$3:$A$60,1)</f>
        <v>50</v>
      </c>
      <c r="C4" s="19">
        <v>2</v>
      </c>
      <c r="D4" s="25">
        <f>WORKDAY($L$2,C4-1)</f>
        <v>46146</v>
      </c>
      <c r="E4" s="18">
        <f ca="1">IF(C4=1,$L$4,I3)</f>
        <v>5300</v>
      </c>
      <c r="F4" s="38">
        <f ca="1">ROUND(E4*$L$5,2)</f>
        <v>2650</v>
      </c>
      <c r="G4" s="37">
        <f t="shared" ca="1" si="2"/>
        <v>2968.0000000000005</v>
      </c>
      <c r="H4" s="26">
        <f t="shared" ref="H4:H60" ca="1" si="5">G4-F4</f>
        <v>318.00000000000045</v>
      </c>
      <c r="I4" s="26">
        <f t="shared" ref="I4:I60" ca="1" si="6">E4+H4</f>
        <v>5618</v>
      </c>
      <c r="J4" s="6" t="str">
        <f t="shared" ca="1" si="3"/>
        <v>Ganó limit</v>
      </c>
      <c r="K4" s="10" t="s">
        <v>14</v>
      </c>
      <c r="L4" s="15">
        <v>5000</v>
      </c>
      <c r="M4"/>
      <c r="N4"/>
      <c r="O4" s="12" t="s">
        <v>15</v>
      </c>
      <c r="P4" s="6"/>
    </row>
    <row r="5" spans="1:16" s="1" customFormat="1" ht="20.100000000000001" customHeight="1" x14ac:dyDescent="0.25">
      <c r="A5" s="27">
        <f t="shared" ca="1" si="0"/>
        <v>0.26094104916072336</v>
      </c>
      <c r="B5" s="24">
        <f t="shared" ca="1" si="4"/>
        <v>14</v>
      </c>
      <c r="C5" s="19">
        <v>3</v>
      </c>
      <c r="D5" s="25">
        <f>WORKDAY($L$2,C5-1)</f>
        <v>46147</v>
      </c>
      <c r="E5" s="18">
        <f t="shared" ref="E5:E60" ca="1" si="7">IF(C5=1,$L$4,I4)</f>
        <v>5618</v>
      </c>
      <c r="F5" s="38">
        <f t="shared" ref="F5:F60" ca="1" si="8">ROUND(E5*$L$5,2)</f>
        <v>2809</v>
      </c>
      <c r="G5" s="37">
        <f t="shared" ca="1" si="2"/>
        <v>3146.0800000000004</v>
      </c>
      <c r="H5" s="26">
        <f t="shared" ca="1" si="5"/>
        <v>337.08000000000038</v>
      </c>
      <c r="I5" s="26">
        <f t="shared" ca="1" si="6"/>
        <v>5955.08</v>
      </c>
      <c r="J5" s="6" t="str">
        <f t="shared" ca="1" si="3"/>
        <v>Ganó limit</v>
      </c>
      <c r="K5" s="10" t="s">
        <v>16</v>
      </c>
      <c r="L5" s="16">
        <v>0.5</v>
      </c>
      <c r="M5"/>
      <c r="N5"/>
      <c r="O5" s="12" t="s">
        <v>17</v>
      </c>
      <c r="P5" s="6"/>
    </row>
    <row r="6" spans="1:16" s="1" customFormat="1" ht="20.100000000000001" customHeight="1" x14ac:dyDescent="0.25">
      <c r="A6" s="27">
        <f t="shared" ca="1" si="0"/>
        <v>0.61340232275174766</v>
      </c>
      <c r="B6" s="24">
        <f t="shared" ca="1" si="4"/>
        <v>38</v>
      </c>
      <c r="C6" s="19">
        <v>4</v>
      </c>
      <c r="D6" s="25">
        <f t="shared" si="1"/>
        <v>46148</v>
      </c>
      <c r="E6" s="18">
        <f t="shared" ca="1" si="7"/>
        <v>5955.08</v>
      </c>
      <c r="F6" s="38">
        <f t="shared" ca="1" si="8"/>
        <v>2977.54</v>
      </c>
      <c r="G6" s="37">
        <f t="shared" ca="1" si="2"/>
        <v>3334.8448000000003</v>
      </c>
      <c r="H6" s="26">
        <f t="shared" ca="1" si="5"/>
        <v>357.30480000000034</v>
      </c>
      <c r="I6" s="26">
        <f t="shared" ca="1" si="6"/>
        <v>6312.3847999999998</v>
      </c>
      <c r="J6" s="6" t="str">
        <f t="shared" ca="1" si="3"/>
        <v>Ganó limit</v>
      </c>
      <c r="K6" s="10" t="s">
        <v>18</v>
      </c>
      <c r="L6" s="16">
        <v>1</v>
      </c>
      <c r="M6"/>
      <c r="N6"/>
      <c r="O6" s="12" t="s">
        <v>19</v>
      </c>
      <c r="P6" s="6"/>
    </row>
    <row r="7" spans="1:16" s="1" customFormat="1" ht="20.100000000000001" customHeight="1" x14ac:dyDescent="0.25">
      <c r="A7" s="27">
        <f t="shared" ca="1" si="0"/>
        <v>0.42823872925191853</v>
      </c>
      <c r="B7" s="24">
        <f t="shared" ca="1" si="4"/>
        <v>27</v>
      </c>
      <c r="C7" s="19">
        <v>5</v>
      </c>
      <c r="D7" s="25">
        <f t="shared" si="1"/>
        <v>46149</v>
      </c>
      <c r="E7" s="18">
        <f t="shared" ca="1" si="7"/>
        <v>6312.3847999999998</v>
      </c>
      <c r="F7" s="38">
        <f t="shared" ca="1" si="8"/>
        <v>3156.19</v>
      </c>
      <c r="G7" s="37">
        <f t="shared" ca="1" si="2"/>
        <v>3534.9328000000005</v>
      </c>
      <c r="H7" s="26">
        <f t="shared" ca="1" si="5"/>
        <v>378.74280000000044</v>
      </c>
      <c r="I7" s="26">
        <f t="shared" ca="1" si="6"/>
        <v>6691.1275999999998</v>
      </c>
      <c r="J7" s="6" t="str">
        <f t="shared" ca="1" si="3"/>
        <v>Ganó limit</v>
      </c>
      <c r="K7" s="10" t="s">
        <v>20</v>
      </c>
      <c r="L7" s="17">
        <v>1</v>
      </c>
      <c r="M7"/>
      <c r="N7"/>
      <c r="O7" s="12" t="s">
        <v>21</v>
      </c>
      <c r="P7" s="6"/>
    </row>
    <row r="8" spans="1:16" s="1" customFormat="1" ht="20.100000000000001" customHeight="1" x14ac:dyDescent="0.25">
      <c r="A8" s="27">
        <f t="shared" ca="1" si="0"/>
        <v>0.14980120935040298</v>
      </c>
      <c r="B8" s="24">
        <f t="shared" ca="1" si="4"/>
        <v>6</v>
      </c>
      <c r="C8" s="19">
        <v>6</v>
      </c>
      <c r="D8" s="25">
        <f t="shared" si="1"/>
        <v>46150</v>
      </c>
      <c r="E8" s="18">
        <f t="shared" ca="1" si="7"/>
        <v>6691.1275999999998</v>
      </c>
      <c r="F8" s="38">
        <f t="shared" ca="1" si="8"/>
        <v>3345.56</v>
      </c>
      <c r="G8" s="37">
        <f t="shared" ca="1" si="2"/>
        <v>3747.0272000000004</v>
      </c>
      <c r="H8" s="26">
        <f t="shared" ca="1" si="5"/>
        <v>401.4672000000005</v>
      </c>
      <c r="I8" s="26">
        <f t="shared" ca="1" si="6"/>
        <v>7092.5948000000008</v>
      </c>
      <c r="J8" s="6" t="str">
        <f t="shared" ca="1" si="3"/>
        <v>Ganó limit</v>
      </c>
      <c r="K8" s="10" t="s">
        <v>22</v>
      </c>
      <c r="L8" s="16">
        <v>0.3</v>
      </c>
      <c r="M8" s="39">
        <f>L7*1-L8</f>
        <v>0.7</v>
      </c>
      <c r="N8"/>
      <c r="O8" s="12" t="s">
        <v>23</v>
      </c>
      <c r="P8" s="6"/>
    </row>
    <row r="9" spans="1:16" s="1" customFormat="1" ht="20.100000000000001" customHeight="1" x14ac:dyDescent="0.25">
      <c r="A9" s="27">
        <f t="shared" ca="1" si="0"/>
        <v>0.41990762751539024</v>
      </c>
      <c r="B9" s="24">
        <f t="shared" ca="1" si="4"/>
        <v>25</v>
      </c>
      <c r="C9" s="19">
        <v>7</v>
      </c>
      <c r="D9" s="25">
        <f t="shared" si="1"/>
        <v>46153</v>
      </c>
      <c r="E9" s="18">
        <f t="shared" ca="1" si="7"/>
        <v>7092.5948000000008</v>
      </c>
      <c r="F9" s="38">
        <f t="shared" ca="1" si="8"/>
        <v>3546.3</v>
      </c>
      <c r="G9" s="37">
        <f t="shared" ca="1" si="2"/>
        <v>3971.8560000000007</v>
      </c>
      <c r="H9" s="26">
        <f ca="1">G9-F9</f>
        <v>425.55600000000049</v>
      </c>
      <c r="I9" s="26">
        <f t="shared" ca="1" si="6"/>
        <v>7518.1508000000013</v>
      </c>
      <c r="J9" s="6" t="str">
        <f t="shared" ca="1" si="3"/>
        <v>Ganó limit</v>
      </c>
      <c r="K9" s="10" t="s">
        <v>24</v>
      </c>
      <c r="L9" s="16">
        <v>0.12</v>
      </c>
      <c r="M9" s="40">
        <f>L7*1+L9</f>
        <v>1.1200000000000001</v>
      </c>
      <c r="N9"/>
      <c r="O9" s="12" t="s">
        <v>25</v>
      </c>
      <c r="P9" s="6"/>
    </row>
    <row r="10" spans="1:16" s="1" customFormat="1" ht="20.100000000000001" customHeight="1" x14ac:dyDescent="0.25">
      <c r="A10" s="27">
        <f t="shared" ca="1" si="0"/>
        <v>0.99103693725435771</v>
      </c>
      <c r="B10" s="24">
        <f t="shared" ca="1" si="4"/>
        <v>58</v>
      </c>
      <c r="C10" s="19">
        <v>8</v>
      </c>
      <c r="D10" s="25">
        <f t="shared" si="1"/>
        <v>46154</v>
      </c>
      <c r="E10" s="18">
        <f t="shared" ca="1" si="7"/>
        <v>7518.1508000000013</v>
      </c>
      <c r="F10" s="38">
        <f t="shared" ca="1" si="8"/>
        <v>3759.08</v>
      </c>
      <c r="G10" s="37">
        <f t="shared" ca="1" si="2"/>
        <v>4210.1696000000002</v>
      </c>
      <c r="H10" s="26">
        <f t="shared" ca="1" si="5"/>
        <v>451.08960000000025</v>
      </c>
      <c r="I10" s="26">
        <f t="shared" ca="1" si="6"/>
        <v>7969.2404000000015</v>
      </c>
      <c r="J10" s="6" t="str">
        <f t="shared" ca="1" si="3"/>
        <v>Ganó limit</v>
      </c>
      <c r="K10" s="11" t="s">
        <v>26</v>
      </c>
      <c r="L10" s="36">
        <v>60</v>
      </c>
      <c r="M10" s="7"/>
      <c r="N10" s="9"/>
      <c r="O10" s="13" t="s">
        <v>27</v>
      </c>
      <c r="P10" s="8"/>
    </row>
    <row r="11" spans="1:16" s="1" customFormat="1" ht="20.100000000000001" customHeight="1" x14ac:dyDescent="0.25">
      <c r="A11" s="27">
        <f t="shared" ca="1" si="0"/>
        <v>0.40794332834040825</v>
      </c>
      <c r="B11" s="24">
        <f t="shared" ca="1" si="4"/>
        <v>24</v>
      </c>
      <c r="C11" s="19">
        <v>9</v>
      </c>
      <c r="D11" s="25">
        <f t="shared" si="1"/>
        <v>46155</v>
      </c>
      <c r="E11" s="18">
        <f t="shared" ca="1" si="7"/>
        <v>7969.2404000000015</v>
      </c>
      <c r="F11" s="38">
        <f t="shared" ca="1" si="8"/>
        <v>3984.62</v>
      </c>
      <c r="G11" s="37">
        <f t="shared" ca="1" si="2"/>
        <v>4462.7744000000002</v>
      </c>
      <c r="H11" s="26">
        <f t="shared" ca="1" si="5"/>
        <v>478.15440000000035</v>
      </c>
      <c r="I11" s="26">
        <f t="shared" ca="1" si="6"/>
        <v>8447.3948000000019</v>
      </c>
      <c r="J11" s="6" t="str">
        <f t="shared" ca="1" si="3"/>
        <v>Ganó limit</v>
      </c>
    </row>
    <row r="12" spans="1:16" s="1" customFormat="1" ht="20.100000000000001" customHeight="1" x14ac:dyDescent="0.3">
      <c r="A12" s="27">
        <f t="shared" ca="1" si="0"/>
        <v>0.98285295633783998</v>
      </c>
      <c r="B12" s="24">
        <f t="shared" ca="1" si="4"/>
        <v>57</v>
      </c>
      <c r="C12" s="19">
        <v>10</v>
      </c>
      <c r="D12" s="25">
        <f t="shared" si="1"/>
        <v>46156</v>
      </c>
      <c r="E12" s="18">
        <f t="shared" ca="1" si="7"/>
        <v>8447.3948000000019</v>
      </c>
      <c r="F12" s="38">
        <f t="shared" ca="1" si="8"/>
        <v>4223.7</v>
      </c>
      <c r="G12" s="37">
        <f t="shared" ref="G12:G60" ca="1" si="9">IF(IF(B12&lt;=ROUND($L$10*$L$6,0),"WIN","LOSS")="LOSS",(F12*(1-$L$8)),(F12*(1+$L$9)))</f>
        <v>4730.5439999999999</v>
      </c>
      <c r="H12" s="26">
        <f t="shared" ca="1" si="5"/>
        <v>506.84400000000005</v>
      </c>
      <c r="I12" s="26">
        <f t="shared" ca="1" si="6"/>
        <v>8954.2388000000028</v>
      </c>
      <c r="J12" s="6" t="str">
        <f t="shared" ca="1" si="3"/>
        <v>Ganó limit</v>
      </c>
      <c r="K12" s="89" t="s">
        <v>28</v>
      </c>
      <c r="L12" s="90"/>
    </row>
    <row r="13" spans="1:16" s="1" customFormat="1" ht="20.100000000000001" customHeight="1" x14ac:dyDescent="0.25">
      <c r="A13" s="27">
        <f t="shared" ca="1" si="0"/>
        <v>0.46197498886672783</v>
      </c>
      <c r="B13" s="24">
        <f t="shared" ca="1" si="4"/>
        <v>31</v>
      </c>
      <c r="C13" s="19">
        <v>11</v>
      </c>
      <c r="D13" s="25">
        <f t="shared" si="1"/>
        <v>46157</v>
      </c>
      <c r="E13" s="18">
        <f t="shared" ca="1" si="7"/>
        <v>8954.2388000000028</v>
      </c>
      <c r="F13" s="38">
        <f t="shared" ca="1" si="8"/>
        <v>4477.12</v>
      </c>
      <c r="G13" s="37">
        <f t="shared" ca="1" si="9"/>
        <v>5014.3744000000006</v>
      </c>
      <c r="H13" s="26">
        <f t="shared" ca="1" si="5"/>
        <v>537.25440000000071</v>
      </c>
      <c r="I13" s="26">
        <f t="shared" ca="1" si="6"/>
        <v>9491.4932000000044</v>
      </c>
      <c r="J13" s="6" t="str">
        <f ca="1">IF(G13&gt;F13,"Ganó limit","Perdió stop")</f>
        <v>Ganó limit</v>
      </c>
      <c r="K13" s="10" t="s">
        <v>29</v>
      </c>
      <c r="L13" s="20">
        <f ca="1">IFERROR(INDEX($I$3:$I$60,MATCH($L$3,$D$3:$D$60,1)),$L$4)</f>
        <v>18017.688800000014</v>
      </c>
    </row>
    <row r="14" spans="1:16" s="1" customFormat="1" ht="20.100000000000001" customHeight="1" x14ac:dyDescent="0.25">
      <c r="A14" s="27">
        <f t="shared" ca="1" si="0"/>
        <v>0.87389692498845628</v>
      </c>
      <c r="B14" s="24">
        <f t="shared" ca="1" si="4"/>
        <v>51</v>
      </c>
      <c r="C14" s="19">
        <v>12</v>
      </c>
      <c r="D14" s="25">
        <f t="shared" si="1"/>
        <v>46160</v>
      </c>
      <c r="E14" s="18">
        <f t="shared" ca="1" si="7"/>
        <v>9491.4932000000044</v>
      </c>
      <c r="F14" s="38">
        <f t="shared" ca="1" si="8"/>
        <v>4745.75</v>
      </c>
      <c r="G14" s="37">
        <f t="shared" ca="1" si="9"/>
        <v>5315.2400000000007</v>
      </c>
      <c r="H14" s="26">
        <f t="shared" ca="1" si="5"/>
        <v>569.49000000000069</v>
      </c>
      <c r="I14" s="26">
        <f t="shared" ca="1" si="6"/>
        <v>10060.983200000006</v>
      </c>
      <c r="J14" s="6" t="str">
        <f t="shared" ref="J14:J60" ca="1" si="10">IF(G14&gt;F14,"Ganó limit","Perdió stop")</f>
        <v>Ganó limit</v>
      </c>
      <c r="K14" s="10" t="s">
        <v>30</v>
      </c>
      <c r="L14" s="20">
        <f ca="1">L13-$L$4</f>
        <v>13017.688800000014</v>
      </c>
    </row>
    <row r="15" spans="1:16" s="1" customFormat="1" ht="20.100000000000001" customHeight="1" x14ac:dyDescent="0.25">
      <c r="A15" s="27">
        <f t="shared" ca="1" si="0"/>
        <v>0.82920022358829271</v>
      </c>
      <c r="B15" s="24">
        <f t="shared" ca="1" si="4"/>
        <v>48</v>
      </c>
      <c r="C15" s="19">
        <v>13</v>
      </c>
      <c r="D15" s="25">
        <f t="shared" si="1"/>
        <v>46161</v>
      </c>
      <c r="E15" s="18">
        <f t="shared" ca="1" si="7"/>
        <v>10060.983200000006</v>
      </c>
      <c r="F15" s="38">
        <f t="shared" ca="1" si="8"/>
        <v>5030.49</v>
      </c>
      <c r="G15" s="37">
        <f t="shared" ca="1" si="9"/>
        <v>5634.1487999999999</v>
      </c>
      <c r="H15" s="26">
        <f t="shared" ca="1" si="5"/>
        <v>603.65880000000016</v>
      </c>
      <c r="I15" s="26">
        <f t="shared" ca="1" si="6"/>
        <v>10664.642000000007</v>
      </c>
      <c r="J15" s="6" t="str">
        <f t="shared" ca="1" si="10"/>
        <v>Ganó limit</v>
      </c>
      <c r="K15" s="10" t="s">
        <v>31</v>
      </c>
      <c r="L15" s="20">
        <f ca="1">LOOKUP(2,1/($I$3:$I$60&lt;&gt;""),$I$3:$I$60)</f>
        <v>146794.65560000017</v>
      </c>
    </row>
    <row r="16" spans="1:16" s="1" customFormat="1" ht="20.100000000000001" customHeight="1" x14ac:dyDescent="0.25">
      <c r="A16" s="27">
        <f t="shared" ca="1" si="0"/>
        <v>1.9839711945722538E-2</v>
      </c>
      <c r="B16" s="24">
        <f t="shared" ca="1" si="4"/>
        <v>1</v>
      </c>
      <c r="C16" s="19">
        <v>14</v>
      </c>
      <c r="D16" s="25">
        <f t="shared" si="1"/>
        <v>46162</v>
      </c>
      <c r="E16" s="18">
        <f t="shared" ca="1" si="7"/>
        <v>10664.642000000007</v>
      </c>
      <c r="F16" s="38">
        <f t="shared" ca="1" si="8"/>
        <v>5332.32</v>
      </c>
      <c r="G16" s="37">
        <f t="shared" ca="1" si="9"/>
        <v>5972.1984000000002</v>
      </c>
      <c r="H16" s="26">
        <f t="shared" ca="1" si="5"/>
        <v>639.87840000000051</v>
      </c>
      <c r="I16" s="26">
        <f t="shared" ca="1" si="6"/>
        <v>11304.520400000009</v>
      </c>
      <c r="J16" s="6" t="str">
        <f t="shared" ca="1" si="10"/>
        <v>Ganó limit</v>
      </c>
      <c r="K16" s="10" t="s">
        <v>32</v>
      </c>
      <c r="L16" s="21">
        <f>ROUND($L$10*$L$6,0)</f>
        <v>60</v>
      </c>
    </row>
    <row r="17" spans="1:12" s="1" customFormat="1" ht="20.100000000000001" customHeight="1" x14ac:dyDescent="0.25">
      <c r="A17" s="27">
        <f t="shared" ca="1" si="0"/>
        <v>0.61560201476794429</v>
      </c>
      <c r="B17" s="24">
        <f t="shared" ca="1" si="4"/>
        <v>39</v>
      </c>
      <c r="C17" s="19">
        <v>15</v>
      </c>
      <c r="D17" s="25">
        <f t="shared" si="1"/>
        <v>46163</v>
      </c>
      <c r="E17" s="18">
        <f t="shared" ca="1" si="7"/>
        <v>11304.520400000009</v>
      </c>
      <c r="F17" s="38">
        <f ca="1">ROUND(E17*$L$5,2)</f>
        <v>5652.26</v>
      </c>
      <c r="G17" s="37">
        <f t="shared" ca="1" si="9"/>
        <v>6330.5312000000013</v>
      </c>
      <c r="H17" s="26">
        <f ca="1">G17-F17</f>
        <v>678.27120000000104</v>
      </c>
      <c r="I17" s="26">
        <f t="shared" ca="1" si="6"/>
        <v>11982.79160000001</v>
      </c>
      <c r="J17" s="6" t="str">
        <f t="shared" ca="1" si="10"/>
        <v>Ganó limit</v>
      </c>
      <c r="K17" s="11" t="s">
        <v>33</v>
      </c>
      <c r="L17" s="22">
        <f>$L$10-L16</f>
        <v>0</v>
      </c>
    </row>
    <row r="18" spans="1:12" s="1" customFormat="1" ht="18" customHeight="1" x14ac:dyDescent="0.25">
      <c r="A18" s="27">
        <f t="shared" ca="1" si="0"/>
        <v>0.27054406224708605</v>
      </c>
      <c r="B18" s="24">
        <f t="shared" ca="1" si="4"/>
        <v>16</v>
      </c>
      <c r="C18" s="19">
        <v>16</v>
      </c>
      <c r="D18" s="25">
        <f t="shared" si="1"/>
        <v>46164</v>
      </c>
      <c r="E18" s="18">
        <f t="shared" ca="1" si="7"/>
        <v>11982.79160000001</v>
      </c>
      <c r="F18" s="38">
        <f t="shared" ca="1" si="8"/>
        <v>5991.4</v>
      </c>
      <c r="G18" s="37">
        <f t="shared" ca="1" si="9"/>
        <v>6710.3680000000004</v>
      </c>
      <c r="H18" s="26">
        <f t="shared" ca="1" si="5"/>
        <v>718.96800000000076</v>
      </c>
      <c r="I18" s="26">
        <f t="shared" ca="1" si="6"/>
        <v>12701.75960000001</v>
      </c>
      <c r="J18" s="6" t="str">
        <f t="shared" ca="1" si="10"/>
        <v>Ganó limit</v>
      </c>
    </row>
    <row r="19" spans="1:12" s="1" customFormat="1" ht="18" customHeight="1" x14ac:dyDescent="0.25">
      <c r="A19" s="27">
        <f t="shared" ca="1" si="0"/>
        <v>0.94017128648524328</v>
      </c>
      <c r="B19" s="24">
        <f t="shared" ca="1" si="4"/>
        <v>55</v>
      </c>
      <c r="C19" s="19">
        <v>17</v>
      </c>
      <c r="D19" s="25">
        <f t="shared" si="1"/>
        <v>46167</v>
      </c>
      <c r="E19" s="18">
        <f t="shared" ca="1" si="7"/>
        <v>12701.75960000001</v>
      </c>
      <c r="F19" s="38">
        <f t="shared" ca="1" si="8"/>
        <v>6350.88</v>
      </c>
      <c r="G19" s="37">
        <f t="shared" ca="1" si="9"/>
        <v>7112.9856000000009</v>
      </c>
      <c r="H19" s="26">
        <f t="shared" ca="1" si="5"/>
        <v>762.10560000000078</v>
      </c>
      <c r="I19" s="26">
        <f t="shared" ca="1" si="6"/>
        <v>13463.865200000011</v>
      </c>
      <c r="J19" s="6" t="str">
        <f t="shared" ca="1" si="10"/>
        <v>Ganó limit</v>
      </c>
    </row>
    <row r="20" spans="1:12" s="1" customFormat="1" ht="18" customHeight="1" x14ac:dyDescent="0.25">
      <c r="A20" s="27">
        <f t="shared" ca="1" si="0"/>
        <v>0.25981040858081383</v>
      </c>
      <c r="B20" s="24">
        <f t="shared" ca="1" si="4"/>
        <v>13</v>
      </c>
      <c r="C20" s="19">
        <v>18</v>
      </c>
      <c r="D20" s="25">
        <f t="shared" si="1"/>
        <v>46168</v>
      </c>
      <c r="E20" s="18">
        <f t="shared" ca="1" si="7"/>
        <v>13463.865200000011</v>
      </c>
      <c r="F20" s="38">
        <f t="shared" ca="1" si="8"/>
        <v>6731.93</v>
      </c>
      <c r="G20" s="37">
        <f t="shared" ca="1" si="9"/>
        <v>7539.7616000000007</v>
      </c>
      <c r="H20" s="26">
        <f t="shared" ca="1" si="5"/>
        <v>807.83160000000044</v>
      </c>
      <c r="I20" s="26">
        <f t="shared" ca="1" si="6"/>
        <v>14271.696800000012</v>
      </c>
      <c r="J20" s="6" t="str">
        <f t="shared" ca="1" si="10"/>
        <v>Ganó limit</v>
      </c>
    </row>
    <row r="21" spans="1:12" s="1" customFormat="1" ht="18" customHeight="1" x14ac:dyDescent="0.25">
      <c r="A21" s="27">
        <f t="shared" ca="1" si="0"/>
        <v>0.77490525184788228</v>
      </c>
      <c r="B21" s="24">
        <f t="shared" ca="1" si="4"/>
        <v>44</v>
      </c>
      <c r="C21" s="19">
        <v>19</v>
      </c>
      <c r="D21" s="25">
        <f t="shared" si="1"/>
        <v>46169</v>
      </c>
      <c r="E21" s="18">
        <f t="shared" ca="1" si="7"/>
        <v>14271.696800000012</v>
      </c>
      <c r="F21" s="38">
        <f t="shared" ca="1" si="8"/>
        <v>7135.85</v>
      </c>
      <c r="G21" s="37">
        <f t="shared" ca="1" si="9"/>
        <v>7992.152000000001</v>
      </c>
      <c r="H21" s="26">
        <f t="shared" ca="1" si="5"/>
        <v>856.30200000000059</v>
      </c>
      <c r="I21" s="26">
        <f t="shared" ca="1" si="6"/>
        <v>15127.998800000012</v>
      </c>
      <c r="J21" s="6" t="str">
        <f t="shared" ca="1" si="10"/>
        <v>Ganó limit</v>
      </c>
    </row>
    <row r="22" spans="1:12" s="1" customFormat="1" ht="18" customHeight="1" x14ac:dyDescent="0.25">
      <c r="A22" s="27">
        <f t="shared" ca="1" si="0"/>
        <v>0.18759586905329972</v>
      </c>
      <c r="B22" s="24">
        <f t="shared" ca="1" si="4"/>
        <v>9</v>
      </c>
      <c r="C22" s="19">
        <v>20</v>
      </c>
      <c r="D22" s="25">
        <f t="shared" si="1"/>
        <v>46170</v>
      </c>
      <c r="E22" s="18">
        <f t="shared" ca="1" si="7"/>
        <v>15127.998800000012</v>
      </c>
      <c r="F22" s="38">
        <f t="shared" ca="1" si="8"/>
        <v>7564</v>
      </c>
      <c r="G22" s="37">
        <f t="shared" ca="1" si="9"/>
        <v>8471.68</v>
      </c>
      <c r="H22" s="26">
        <f t="shared" ca="1" si="5"/>
        <v>907.68000000000029</v>
      </c>
      <c r="I22" s="26">
        <f t="shared" ca="1" si="6"/>
        <v>16035.678800000012</v>
      </c>
      <c r="J22" s="6" t="str">
        <f t="shared" ca="1" si="10"/>
        <v>Ganó limit</v>
      </c>
    </row>
    <row r="23" spans="1:12" s="1" customFormat="1" ht="18" customHeight="1" x14ac:dyDescent="0.25">
      <c r="A23" s="27">
        <f t="shared" ca="1" si="0"/>
        <v>0.77271699634295499</v>
      </c>
      <c r="B23" s="24">
        <f t="shared" ca="1" si="4"/>
        <v>43</v>
      </c>
      <c r="C23" s="19">
        <v>21</v>
      </c>
      <c r="D23" s="25">
        <f t="shared" si="1"/>
        <v>46171</v>
      </c>
      <c r="E23" s="18">
        <f t="shared" ca="1" si="7"/>
        <v>16035.678800000012</v>
      </c>
      <c r="F23" s="38">
        <f t="shared" ca="1" si="8"/>
        <v>8017.84</v>
      </c>
      <c r="G23" s="37">
        <f t="shared" ca="1" si="9"/>
        <v>8979.9808000000012</v>
      </c>
      <c r="H23" s="26">
        <f t="shared" ca="1" si="5"/>
        <v>962.14080000000104</v>
      </c>
      <c r="I23" s="26">
        <f t="shared" ca="1" si="6"/>
        <v>16997.819600000013</v>
      </c>
      <c r="J23" s="6" t="str">
        <f t="shared" ca="1" si="10"/>
        <v>Ganó limit</v>
      </c>
    </row>
    <row r="24" spans="1:12" s="1" customFormat="1" ht="18" customHeight="1" x14ac:dyDescent="0.25">
      <c r="A24" s="27">
        <f t="shared" ca="1" si="0"/>
        <v>0.46829435638093631</v>
      </c>
      <c r="B24" s="24">
        <f t="shared" ca="1" si="4"/>
        <v>33</v>
      </c>
      <c r="C24" s="19">
        <v>22</v>
      </c>
      <c r="D24" s="25">
        <f t="shared" si="1"/>
        <v>46174</v>
      </c>
      <c r="E24" s="18">
        <f t="shared" ca="1" si="7"/>
        <v>16997.819600000013</v>
      </c>
      <c r="F24" s="38">
        <f t="shared" ca="1" si="8"/>
        <v>8498.91</v>
      </c>
      <c r="G24" s="37">
        <f t="shared" ca="1" si="9"/>
        <v>9518.7792000000009</v>
      </c>
      <c r="H24" s="26">
        <f t="shared" ca="1" si="5"/>
        <v>1019.869200000001</v>
      </c>
      <c r="I24" s="26">
        <f t="shared" ca="1" si="6"/>
        <v>18017.688800000014</v>
      </c>
      <c r="J24" s="6" t="str">
        <f t="shared" ca="1" si="10"/>
        <v>Ganó limit</v>
      </c>
    </row>
    <row r="25" spans="1:12" s="1" customFormat="1" ht="18" customHeight="1" x14ac:dyDescent="0.25">
      <c r="A25" s="27">
        <f t="shared" ca="1" si="0"/>
        <v>0.3481751934279661</v>
      </c>
      <c r="B25" s="24">
        <f t="shared" ca="1" si="4"/>
        <v>19</v>
      </c>
      <c r="C25" s="19">
        <v>23</v>
      </c>
      <c r="D25" s="25">
        <f t="shared" si="1"/>
        <v>46175</v>
      </c>
      <c r="E25" s="18">
        <f t="shared" ca="1" si="7"/>
        <v>18017.688800000014</v>
      </c>
      <c r="F25" s="38">
        <f t="shared" ca="1" si="8"/>
        <v>9008.84</v>
      </c>
      <c r="G25" s="37">
        <f t="shared" ca="1" si="9"/>
        <v>10089.900800000001</v>
      </c>
      <c r="H25" s="26">
        <f t="shared" ca="1" si="5"/>
        <v>1081.0608000000011</v>
      </c>
      <c r="I25" s="26">
        <f t="shared" ca="1" si="6"/>
        <v>19098.749600000017</v>
      </c>
      <c r="J25" s="6" t="str">
        <f t="shared" ca="1" si="10"/>
        <v>Ganó limit</v>
      </c>
    </row>
    <row r="26" spans="1:12" s="1" customFormat="1" ht="18" customHeight="1" x14ac:dyDescent="0.25">
      <c r="A26" s="27">
        <f t="shared" ca="1" si="0"/>
        <v>0.36304523808421019</v>
      </c>
      <c r="B26" s="24">
        <f t="shared" ca="1" si="4"/>
        <v>20</v>
      </c>
      <c r="C26" s="19">
        <v>24</v>
      </c>
      <c r="D26" s="25">
        <f t="shared" si="1"/>
        <v>46176</v>
      </c>
      <c r="E26" s="18">
        <f t="shared" ca="1" si="7"/>
        <v>19098.749600000017</v>
      </c>
      <c r="F26" s="38">
        <f t="shared" ca="1" si="8"/>
        <v>9549.3700000000008</v>
      </c>
      <c r="G26" s="37">
        <f t="shared" ca="1" si="9"/>
        <v>10695.294400000002</v>
      </c>
      <c r="H26" s="26">
        <f t="shared" ca="1" si="5"/>
        <v>1145.9244000000017</v>
      </c>
      <c r="I26" s="26">
        <f t="shared" ca="1" si="6"/>
        <v>20244.674000000021</v>
      </c>
      <c r="J26" s="6" t="str">
        <f t="shared" ca="1" si="10"/>
        <v>Ganó limit</v>
      </c>
    </row>
    <row r="27" spans="1:12" s="1" customFormat="1" ht="18" customHeight="1" x14ac:dyDescent="0.25">
      <c r="A27" s="27">
        <f t="shared" ca="1" si="0"/>
        <v>0.18358733325534538</v>
      </c>
      <c r="B27" s="24">
        <f t="shared" ca="1" si="4"/>
        <v>8</v>
      </c>
      <c r="C27" s="19">
        <v>25</v>
      </c>
      <c r="D27" s="25">
        <f t="shared" si="1"/>
        <v>46177</v>
      </c>
      <c r="E27" s="18">
        <f t="shared" ca="1" si="7"/>
        <v>20244.674000000021</v>
      </c>
      <c r="F27" s="38">
        <f t="shared" ca="1" si="8"/>
        <v>10122.34</v>
      </c>
      <c r="G27" s="37">
        <f t="shared" ca="1" si="9"/>
        <v>11337.020800000002</v>
      </c>
      <c r="H27" s="26">
        <f t="shared" ca="1" si="5"/>
        <v>1214.6808000000019</v>
      </c>
      <c r="I27" s="26">
        <f t="shared" ca="1" si="6"/>
        <v>21459.354800000023</v>
      </c>
      <c r="J27" s="6" t="str">
        <f t="shared" ca="1" si="10"/>
        <v>Ganó limit</v>
      </c>
    </row>
    <row r="28" spans="1:12" s="1" customFormat="1" ht="18" customHeight="1" x14ac:dyDescent="0.25">
      <c r="A28" s="27">
        <f t="shared" ca="1" si="0"/>
        <v>0.94984035768442321</v>
      </c>
      <c r="B28" s="24">
        <f t="shared" ca="1" si="4"/>
        <v>56</v>
      </c>
      <c r="C28" s="19">
        <v>26</v>
      </c>
      <c r="D28" s="25">
        <f t="shared" si="1"/>
        <v>46178</v>
      </c>
      <c r="E28" s="18">
        <f t="shared" ca="1" si="7"/>
        <v>21459.354800000023</v>
      </c>
      <c r="F28" s="38">
        <f t="shared" ca="1" si="8"/>
        <v>10729.68</v>
      </c>
      <c r="G28" s="37">
        <f t="shared" ca="1" si="9"/>
        <v>12017.241600000001</v>
      </c>
      <c r="H28" s="26">
        <f t="shared" ca="1" si="5"/>
        <v>1287.5616000000009</v>
      </c>
      <c r="I28" s="26">
        <f t="shared" ca="1" si="6"/>
        <v>22746.916400000024</v>
      </c>
      <c r="J28" s="6" t="str">
        <f t="shared" ca="1" si="10"/>
        <v>Ganó limit</v>
      </c>
    </row>
    <row r="29" spans="1:12" s="1" customFormat="1" ht="18" customHeight="1" x14ac:dyDescent="0.25">
      <c r="A29" s="27">
        <f t="shared" ca="1" si="0"/>
        <v>0.12000156849654342</v>
      </c>
      <c r="B29" s="24">
        <f t="shared" ca="1" si="4"/>
        <v>3</v>
      </c>
      <c r="C29" s="19">
        <v>27</v>
      </c>
      <c r="D29" s="25">
        <f t="shared" si="1"/>
        <v>46181</v>
      </c>
      <c r="E29" s="18">
        <f t="shared" ca="1" si="7"/>
        <v>22746.916400000024</v>
      </c>
      <c r="F29" s="38">
        <f t="shared" ca="1" si="8"/>
        <v>11373.46</v>
      </c>
      <c r="G29" s="37">
        <f t="shared" ca="1" si="9"/>
        <v>12738.2752</v>
      </c>
      <c r="H29" s="26">
        <f t="shared" ca="1" si="5"/>
        <v>1364.8152000000009</v>
      </c>
      <c r="I29" s="26">
        <f t="shared" ca="1" si="6"/>
        <v>24111.731600000025</v>
      </c>
      <c r="J29" s="6" t="str">
        <f t="shared" ca="1" si="10"/>
        <v>Ganó limit</v>
      </c>
    </row>
    <row r="30" spans="1:12" s="1" customFormat="1" ht="18" customHeight="1" x14ac:dyDescent="0.25">
      <c r="A30" s="27">
        <f t="shared" ca="1" si="0"/>
        <v>0.13377423552576739</v>
      </c>
      <c r="B30" s="24">
        <f t="shared" ca="1" si="4"/>
        <v>4</v>
      </c>
      <c r="C30" s="19">
        <v>28</v>
      </c>
      <c r="D30" s="25">
        <f t="shared" si="1"/>
        <v>46182</v>
      </c>
      <c r="E30" s="18">
        <f t="shared" ca="1" si="7"/>
        <v>24111.731600000025</v>
      </c>
      <c r="F30" s="38">
        <f t="shared" ca="1" si="8"/>
        <v>12055.87</v>
      </c>
      <c r="G30" s="37">
        <f t="shared" ca="1" si="9"/>
        <v>13502.574400000001</v>
      </c>
      <c r="H30" s="26">
        <f t="shared" ca="1" si="5"/>
        <v>1446.7044000000005</v>
      </c>
      <c r="I30" s="26">
        <f t="shared" ca="1" si="6"/>
        <v>25558.436000000023</v>
      </c>
      <c r="J30" s="6" t="str">
        <f t="shared" ca="1" si="10"/>
        <v>Ganó limit</v>
      </c>
    </row>
    <row r="31" spans="1:12" s="1" customFormat="1" ht="18" customHeight="1" x14ac:dyDescent="0.25">
      <c r="A31" s="27">
        <f t="shared" ca="1" si="0"/>
        <v>0.62723180791513755</v>
      </c>
      <c r="B31" s="24">
        <f t="shared" ca="1" si="4"/>
        <v>40</v>
      </c>
      <c r="C31" s="19">
        <v>29</v>
      </c>
      <c r="D31" s="25">
        <f t="shared" si="1"/>
        <v>46183</v>
      </c>
      <c r="E31" s="18">
        <f t="shared" ca="1" si="7"/>
        <v>25558.436000000023</v>
      </c>
      <c r="F31" s="38">
        <f t="shared" ca="1" si="8"/>
        <v>12779.22</v>
      </c>
      <c r="G31" s="37">
        <f t="shared" ca="1" si="9"/>
        <v>14312.726400000001</v>
      </c>
      <c r="H31" s="26">
        <f t="shared" ca="1" si="5"/>
        <v>1533.506400000002</v>
      </c>
      <c r="I31" s="26">
        <f t="shared" ca="1" si="6"/>
        <v>27091.942400000025</v>
      </c>
      <c r="J31" s="6" t="str">
        <f t="shared" ca="1" si="10"/>
        <v>Ganó limit</v>
      </c>
    </row>
    <row r="32" spans="1:12" s="1" customFormat="1" ht="18" customHeight="1" x14ac:dyDescent="0.25">
      <c r="A32" s="27">
        <f t="shared" ca="1" si="0"/>
        <v>0.8168565219545445</v>
      </c>
      <c r="B32" s="24">
        <f t="shared" ca="1" si="4"/>
        <v>46</v>
      </c>
      <c r="C32" s="19">
        <v>30</v>
      </c>
      <c r="D32" s="25">
        <f t="shared" si="1"/>
        <v>46184</v>
      </c>
      <c r="E32" s="18">
        <f t="shared" ca="1" si="7"/>
        <v>27091.942400000025</v>
      </c>
      <c r="F32" s="38">
        <f t="shared" ca="1" si="8"/>
        <v>13545.97</v>
      </c>
      <c r="G32" s="37">
        <f t="shared" ca="1" si="9"/>
        <v>15171.486400000002</v>
      </c>
      <c r="H32" s="26">
        <f t="shared" ca="1" si="5"/>
        <v>1625.5164000000022</v>
      </c>
      <c r="I32" s="26">
        <f t="shared" ca="1" si="6"/>
        <v>28717.458800000029</v>
      </c>
      <c r="J32" s="6" t="str">
        <f t="shared" ca="1" si="10"/>
        <v>Ganó limit</v>
      </c>
    </row>
    <row r="33" spans="1:10" s="1" customFormat="1" ht="18" customHeight="1" x14ac:dyDescent="0.25">
      <c r="A33" s="27">
        <f t="shared" ca="1" si="0"/>
        <v>0.40569167057933919</v>
      </c>
      <c r="B33" s="24">
        <f t="shared" ca="1" si="4"/>
        <v>23</v>
      </c>
      <c r="C33" s="19">
        <v>31</v>
      </c>
      <c r="D33" s="25">
        <f t="shared" si="1"/>
        <v>46185</v>
      </c>
      <c r="E33" s="18">
        <f t="shared" ca="1" si="7"/>
        <v>28717.458800000029</v>
      </c>
      <c r="F33" s="38">
        <f t="shared" ca="1" si="8"/>
        <v>14358.73</v>
      </c>
      <c r="G33" s="37">
        <f t="shared" ca="1" si="9"/>
        <v>16081.777600000001</v>
      </c>
      <c r="H33" s="26">
        <f t="shared" ca="1" si="5"/>
        <v>1723.0476000000017</v>
      </c>
      <c r="I33" s="26">
        <f t="shared" ca="1" si="6"/>
        <v>30440.506400000031</v>
      </c>
      <c r="J33" s="6" t="str">
        <f t="shared" ca="1" si="10"/>
        <v>Ganó limit</v>
      </c>
    </row>
    <row r="34" spans="1:10" s="1" customFormat="1" ht="18" customHeight="1" x14ac:dyDescent="0.25">
      <c r="A34" s="27">
        <f t="shared" ca="1" si="0"/>
        <v>0.48395544681728031</v>
      </c>
      <c r="B34" s="24">
        <f t="shared" ca="1" si="4"/>
        <v>35</v>
      </c>
      <c r="C34" s="19">
        <v>32</v>
      </c>
      <c r="D34" s="25">
        <f t="shared" si="1"/>
        <v>46188</v>
      </c>
      <c r="E34" s="18">
        <f t="shared" ca="1" si="7"/>
        <v>30440.506400000031</v>
      </c>
      <c r="F34" s="38">
        <f t="shared" ca="1" si="8"/>
        <v>15220.25</v>
      </c>
      <c r="G34" s="37">
        <f t="shared" ca="1" si="9"/>
        <v>17046.68</v>
      </c>
      <c r="H34" s="26">
        <f t="shared" ca="1" si="5"/>
        <v>1826.4300000000003</v>
      </c>
      <c r="I34" s="26">
        <f t="shared" ca="1" si="6"/>
        <v>32266.936400000031</v>
      </c>
      <c r="J34" s="6" t="str">
        <f t="shared" ca="1" si="10"/>
        <v>Ganó limit</v>
      </c>
    </row>
    <row r="35" spans="1:10" s="1" customFormat="1" ht="18" customHeight="1" x14ac:dyDescent="0.25">
      <c r="A35" s="27">
        <f t="shared" ca="1" si="0"/>
        <v>0.92206212461396009</v>
      </c>
      <c r="B35" s="24">
        <f t="shared" ca="1" si="4"/>
        <v>54</v>
      </c>
      <c r="C35" s="19">
        <v>33</v>
      </c>
      <c r="D35" s="25">
        <f t="shared" si="1"/>
        <v>46189</v>
      </c>
      <c r="E35" s="18">
        <f t="shared" ca="1" si="7"/>
        <v>32266.936400000031</v>
      </c>
      <c r="F35" s="38">
        <f t="shared" ca="1" si="8"/>
        <v>16133.47</v>
      </c>
      <c r="G35" s="37">
        <f t="shared" ca="1" si="9"/>
        <v>18069.486400000002</v>
      </c>
      <c r="H35" s="26">
        <f t="shared" ca="1" si="5"/>
        <v>1936.0164000000022</v>
      </c>
      <c r="I35" s="26">
        <f t="shared" ca="1" si="6"/>
        <v>34202.952800000035</v>
      </c>
      <c r="J35" s="6" t="str">
        <f t="shared" ca="1" si="10"/>
        <v>Ganó limit</v>
      </c>
    </row>
    <row r="36" spans="1:10" s="1" customFormat="1" ht="18" customHeight="1" x14ac:dyDescent="0.25">
      <c r="A36" s="27">
        <f t="shared" ca="1" si="0"/>
        <v>0.11331827343140943</v>
      </c>
      <c r="B36" s="24">
        <f t="shared" ca="1" si="4"/>
        <v>2</v>
      </c>
      <c r="C36" s="19">
        <v>34</v>
      </c>
      <c r="D36" s="25">
        <f t="shared" si="1"/>
        <v>46190</v>
      </c>
      <c r="E36" s="18">
        <f t="shared" ca="1" si="7"/>
        <v>34202.952800000035</v>
      </c>
      <c r="F36" s="38">
        <f t="shared" ca="1" si="8"/>
        <v>17101.48</v>
      </c>
      <c r="G36" s="37">
        <f t="shared" ca="1" si="9"/>
        <v>19153.657600000002</v>
      </c>
      <c r="H36" s="26">
        <f t="shared" ca="1" si="5"/>
        <v>2052.1776000000027</v>
      </c>
      <c r="I36" s="26">
        <f t="shared" ca="1" si="6"/>
        <v>36255.130400000038</v>
      </c>
      <c r="J36" s="6" t="str">
        <f t="shared" ca="1" si="10"/>
        <v>Ganó limit</v>
      </c>
    </row>
    <row r="37" spans="1:10" s="1" customFormat="1" ht="18" customHeight="1" x14ac:dyDescent="0.25">
      <c r="A37" s="27">
        <f t="shared" ca="1" si="0"/>
        <v>0.71007782708213707</v>
      </c>
      <c r="B37" s="24">
        <f t="shared" ca="1" si="4"/>
        <v>42</v>
      </c>
      <c r="C37" s="19">
        <v>35</v>
      </c>
      <c r="D37" s="25">
        <f t="shared" si="1"/>
        <v>46191</v>
      </c>
      <c r="E37" s="18">
        <f t="shared" ca="1" si="7"/>
        <v>36255.130400000038</v>
      </c>
      <c r="F37" s="38">
        <f t="shared" ca="1" si="8"/>
        <v>18127.57</v>
      </c>
      <c r="G37" s="37">
        <f t="shared" ca="1" si="9"/>
        <v>20302.878400000001</v>
      </c>
      <c r="H37" s="26">
        <f t="shared" ca="1" si="5"/>
        <v>2175.3084000000017</v>
      </c>
      <c r="I37" s="26">
        <f t="shared" ca="1" si="6"/>
        <v>38430.43880000004</v>
      </c>
      <c r="J37" s="6" t="str">
        <f t="shared" ca="1" si="10"/>
        <v>Ganó limit</v>
      </c>
    </row>
    <row r="38" spans="1:10" s="1" customFormat="1" ht="18" customHeight="1" x14ac:dyDescent="0.25">
      <c r="A38" s="27">
        <f t="shared" ca="1" si="0"/>
        <v>0.13706041257871915</v>
      </c>
      <c r="B38" s="24">
        <f t="shared" ca="1" si="4"/>
        <v>5</v>
      </c>
      <c r="C38" s="19">
        <v>36</v>
      </c>
      <c r="D38" s="25">
        <f t="shared" si="1"/>
        <v>46192</v>
      </c>
      <c r="E38" s="18">
        <f t="shared" ca="1" si="7"/>
        <v>38430.43880000004</v>
      </c>
      <c r="F38" s="38">
        <f t="shared" ca="1" si="8"/>
        <v>19215.22</v>
      </c>
      <c r="G38" s="37">
        <f t="shared" ca="1" si="9"/>
        <v>21521.046400000003</v>
      </c>
      <c r="H38" s="26">
        <f t="shared" ca="1" si="5"/>
        <v>2305.8264000000017</v>
      </c>
      <c r="I38" s="26">
        <f t="shared" ca="1" si="6"/>
        <v>40736.265200000038</v>
      </c>
      <c r="J38" s="6" t="str">
        <f t="shared" ca="1" si="10"/>
        <v>Ganó limit</v>
      </c>
    </row>
    <row r="39" spans="1:10" s="1" customFormat="1" ht="18" customHeight="1" x14ac:dyDescent="0.25">
      <c r="A39" s="27">
        <f t="shared" ca="1" si="0"/>
        <v>0.83084901406674827</v>
      </c>
      <c r="B39" s="24">
        <f t="shared" ca="1" si="4"/>
        <v>49</v>
      </c>
      <c r="C39" s="19">
        <v>37</v>
      </c>
      <c r="D39" s="25">
        <f t="shared" si="1"/>
        <v>46195</v>
      </c>
      <c r="E39" s="18">
        <f t="shared" ca="1" si="7"/>
        <v>40736.265200000038</v>
      </c>
      <c r="F39" s="38">
        <f t="shared" ca="1" si="8"/>
        <v>20368.13</v>
      </c>
      <c r="G39" s="37">
        <f t="shared" ca="1" si="9"/>
        <v>22812.305600000003</v>
      </c>
      <c r="H39" s="26">
        <f t="shared" ca="1" si="5"/>
        <v>2444.1756000000023</v>
      </c>
      <c r="I39" s="26">
        <f t="shared" ca="1" si="6"/>
        <v>43180.44080000004</v>
      </c>
      <c r="J39" s="6" t="str">
        <f t="shared" ca="1" si="10"/>
        <v>Ganó limit</v>
      </c>
    </row>
    <row r="40" spans="1:10" s="1" customFormat="1" ht="18" customHeight="1" x14ac:dyDescent="0.25">
      <c r="A40" s="27">
        <f t="shared" ca="1" si="0"/>
        <v>0.77623286393209368</v>
      </c>
      <c r="B40" s="24">
        <f t="shared" ca="1" si="4"/>
        <v>45</v>
      </c>
      <c r="C40" s="19">
        <v>38</v>
      </c>
      <c r="D40" s="25">
        <f t="shared" si="1"/>
        <v>46196</v>
      </c>
      <c r="E40" s="18">
        <f t="shared" ca="1" si="7"/>
        <v>43180.44080000004</v>
      </c>
      <c r="F40" s="38">
        <f t="shared" ca="1" si="8"/>
        <v>21590.22</v>
      </c>
      <c r="G40" s="37">
        <f t="shared" ca="1" si="9"/>
        <v>24181.046400000003</v>
      </c>
      <c r="H40" s="26">
        <f t="shared" ca="1" si="5"/>
        <v>2590.8264000000017</v>
      </c>
      <c r="I40" s="26">
        <f t="shared" ca="1" si="6"/>
        <v>45771.267200000046</v>
      </c>
      <c r="J40" s="6" t="str">
        <f t="shared" ca="1" si="10"/>
        <v>Ganó limit</v>
      </c>
    </row>
    <row r="41" spans="1:10" s="1" customFormat="1" ht="18" customHeight="1" x14ac:dyDescent="0.25">
      <c r="A41" s="27">
        <f t="shared" ca="1" si="0"/>
        <v>0.25747450610183331</v>
      </c>
      <c r="B41" s="24">
        <f t="shared" ca="1" si="4"/>
        <v>12</v>
      </c>
      <c r="C41" s="19">
        <v>39</v>
      </c>
      <c r="D41" s="25">
        <f t="shared" si="1"/>
        <v>46197</v>
      </c>
      <c r="E41" s="18">
        <f t="shared" ca="1" si="7"/>
        <v>45771.267200000046</v>
      </c>
      <c r="F41" s="38">
        <f t="shared" ca="1" si="8"/>
        <v>22885.63</v>
      </c>
      <c r="G41" s="37">
        <f t="shared" ca="1" si="9"/>
        <v>25631.905600000002</v>
      </c>
      <c r="H41" s="26">
        <f t="shared" ca="1" si="5"/>
        <v>2746.2756000000008</v>
      </c>
      <c r="I41" s="26">
        <f t="shared" ca="1" si="6"/>
        <v>48517.542800000047</v>
      </c>
      <c r="J41" s="6" t="str">
        <f t="shared" ca="1" si="10"/>
        <v>Ganó limit</v>
      </c>
    </row>
    <row r="42" spans="1:10" s="1" customFormat="1" ht="18" customHeight="1" x14ac:dyDescent="0.25">
      <c r="A42" s="27">
        <f t="shared" ca="1" si="0"/>
        <v>0.47118042555934703</v>
      </c>
      <c r="B42" s="24">
        <f t="shared" ca="1" si="4"/>
        <v>34</v>
      </c>
      <c r="C42" s="19">
        <v>40</v>
      </c>
      <c r="D42" s="25">
        <f t="shared" si="1"/>
        <v>46198</v>
      </c>
      <c r="E42" s="18">
        <f t="shared" ca="1" si="7"/>
        <v>48517.542800000047</v>
      </c>
      <c r="F42" s="38">
        <f t="shared" ca="1" si="8"/>
        <v>24258.77</v>
      </c>
      <c r="G42" s="37">
        <f t="shared" ca="1" si="9"/>
        <v>27169.822400000005</v>
      </c>
      <c r="H42" s="26">
        <f t="shared" ca="1" si="5"/>
        <v>2911.0524000000041</v>
      </c>
      <c r="I42" s="26">
        <f t="shared" ca="1" si="6"/>
        <v>51428.595200000054</v>
      </c>
      <c r="J42" s="6" t="str">
        <f t="shared" ca="1" si="10"/>
        <v>Ganó limit</v>
      </c>
    </row>
    <row r="43" spans="1:10" s="1" customFormat="1" ht="18" customHeight="1" x14ac:dyDescent="0.25">
      <c r="A43" s="27">
        <f t="shared" ca="1" si="0"/>
        <v>0.91889053171564683</v>
      </c>
      <c r="B43" s="24">
        <f t="shared" ca="1" si="4"/>
        <v>53</v>
      </c>
      <c r="C43" s="19">
        <v>41</v>
      </c>
      <c r="D43" s="25">
        <f t="shared" si="1"/>
        <v>46199</v>
      </c>
      <c r="E43" s="18">
        <f t="shared" ca="1" si="7"/>
        <v>51428.595200000054</v>
      </c>
      <c r="F43" s="38">
        <f t="shared" ca="1" si="8"/>
        <v>25714.3</v>
      </c>
      <c r="G43" s="37">
        <f t="shared" ca="1" si="9"/>
        <v>28800.016000000003</v>
      </c>
      <c r="H43" s="26">
        <f t="shared" ca="1" si="5"/>
        <v>3085.716000000004</v>
      </c>
      <c r="I43" s="26">
        <f t="shared" ca="1" si="6"/>
        <v>54514.311200000055</v>
      </c>
      <c r="J43" s="6" t="str">
        <f t="shared" ca="1" si="10"/>
        <v>Ganó limit</v>
      </c>
    </row>
    <row r="44" spans="1:10" s="1" customFormat="1" ht="18" customHeight="1" x14ac:dyDescent="0.25">
      <c r="A44" s="27">
        <f t="shared" ca="1" si="0"/>
        <v>0.33423944855451471</v>
      </c>
      <c r="B44" s="24">
        <f t="shared" ca="1" si="4"/>
        <v>18</v>
      </c>
      <c r="C44" s="19">
        <v>42</v>
      </c>
      <c r="D44" s="25">
        <f t="shared" si="1"/>
        <v>46202</v>
      </c>
      <c r="E44" s="18">
        <f t="shared" ca="1" si="7"/>
        <v>54514.311200000055</v>
      </c>
      <c r="F44" s="38">
        <f t="shared" ca="1" si="8"/>
        <v>27257.16</v>
      </c>
      <c r="G44" s="37">
        <f t="shared" ca="1" si="9"/>
        <v>30528.019200000002</v>
      </c>
      <c r="H44" s="26">
        <f t="shared" ca="1" si="5"/>
        <v>3270.8592000000026</v>
      </c>
      <c r="I44" s="26">
        <f t="shared" ca="1" si="6"/>
        <v>57785.170400000061</v>
      </c>
      <c r="J44" s="6" t="str">
        <f t="shared" ca="1" si="10"/>
        <v>Ganó limit</v>
      </c>
    </row>
    <row r="45" spans="1:10" s="1" customFormat="1" ht="18" customHeight="1" x14ac:dyDescent="0.25">
      <c r="A45" s="27">
        <f t="shared" ca="1" si="0"/>
        <v>0.42274014040811858</v>
      </c>
      <c r="B45" s="24">
        <f t="shared" ca="1" si="4"/>
        <v>26</v>
      </c>
      <c r="C45" s="19">
        <v>43</v>
      </c>
      <c r="D45" s="25">
        <f t="shared" si="1"/>
        <v>46203</v>
      </c>
      <c r="E45" s="18">
        <f t="shared" ca="1" si="7"/>
        <v>57785.170400000061</v>
      </c>
      <c r="F45" s="38">
        <f t="shared" ca="1" si="8"/>
        <v>28892.59</v>
      </c>
      <c r="G45" s="37">
        <f t="shared" ca="1" si="9"/>
        <v>32359.700800000002</v>
      </c>
      <c r="H45" s="26">
        <f t="shared" ca="1" si="5"/>
        <v>3467.1108000000022</v>
      </c>
      <c r="I45" s="26">
        <f t="shared" ca="1" si="6"/>
        <v>61252.281200000063</v>
      </c>
      <c r="J45" s="6" t="str">
        <f t="shared" ca="1" si="10"/>
        <v>Ganó limit</v>
      </c>
    </row>
    <row r="46" spans="1:10" s="1" customFormat="1" ht="18" customHeight="1" x14ac:dyDescent="0.25">
      <c r="A46" s="27">
        <f t="shared" ca="1" si="0"/>
        <v>0.21648192252790266</v>
      </c>
      <c r="B46" s="24">
        <f t="shared" ca="1" si="4"/>
        <v>10</v>
      </c>
      <c r="C46" s="19">
        <v>44</v>
      </c>
      <c r="D46" s="25">
        <f t="shared" si="1"/>
        <v>46204</v>
      </c>
      <c r="E46" s="18">
        <f t="shared" ca="1" si="7"/>
        <v>61252.281200000063</v>
      </c>
      <c r="F46" s="38">
        <f t="shared" ca="1" si="8"/>
        <v>30626.14</v>
      </c>
      <c r="G46" s="37">
        <f t="shared" ca="1" si="9"/>
        <v>34301.2768</v>
      </c>
      <c r="H46" s="26">
        <f t="shared" ca="1" si="5"/>
        <v>3675.1368000000002</v>
      </c>
      <c r="I46" s="26">
        <f t="shared" ca="1" si="6"/>
        <v>64927.418000000063</v>
      </c>
      <c r="J46" s="6" t="str">
        <f t="shared" ca="1" si="10"/>
        <v>Ganó limit</v>
      </c>
    </row>
    <row r="47" spans="1:10" s="1" customFormat="1" ht="18" customHeight="1" x14ac:dyDescent="0.25">
      <c r="A47" s="27">
        <f t="shared" ca="1" si="0"/>
        <v>0.66689697971637485</v>
      </c>
      <c r="B47" s="24">
        <f t="shared" ca="1" si="4"/>
        <v>41</v>
      </c>
      <c r="C47" s="19">
        <v>45</v>
      </c>
      <c r="D47" s="25">
        <f t="shared" si="1"/>
        <v>46205</v>
      </c>
      <c r="E47" s="18">
        <f t="shared" ca="1" si="7"/>
        <v>64927.418000000063</v>
      </c>
      <c r="F47" s="38">
        <f t="shared" ca="1" si="8"/>
        <v>32463.71</v>
      </c>
      <c r="G47" s="37">
        <f t="shared" ca="1" si="9"/>
        <v>36359.355200000005</v>
      </c>
      <c r="H47" s="26">
        <f t="shared" ca="1" si="5"/>
        <v>3895.6452000000063</v>
      </c>
      <c r="I47" s="26">
        <f t="shared" ca="1" si="6"/>
        <v>68823.063200000062</v>
      </c>
      <c r="J47" s="6" t="str">
        <f t="shared" ca="1" si="10"/>
        <v>Ganó limit</v>
      </c>
    </row>
    <row r="48" spans="1:10" s="1" customFormat="1" ht="18" customHeight="1" x14ac:dyDescent="0.25">
      <c r="A48" s="27">
        <f t="shared" ca="1" si="0"/>
        <v>0.82557873135788851</v>
      </c>
      <c r="B48" s="24">
        <f t="shared" ca="1" si="4"/>
        <v>47</v>
      </c>
      <c r="C48" s="19">
        <v>46</v>
      </c>
      <c r="D48" s="25">
        <f t="shared" si="1"/>
        <v>46206</v>
      </c>
      <c r="E48" s="18">
        <f t="shared" ca="1" si="7"/>
        <v>68823.063200000062</v>
      </c>
      <c r="F48" s="38">
        <f t="shared" ca="1" si="8"/>
        <v>34411.53</v>
      </c>
      <c r="G48" s="37">
        <f t="shared" ca="1" si="9"/>
        <v>38540.9136</v>
      </c>
      <c r="H48" s="26">
        <f t="shared" ca="1" si="5"/>
        <v>4129.383600000001</v>
      </c>
      <c r="I48" s="26">
        <f t="shared" ca="1" si="6"/>
        <v>72952.446800000063</v>
      </c>
      <c r="J48" s="6" t="str">
        <f t="shared" ca="1" si="10"/>
        <v>Ganó limit</v>
      </c>
    </row>
    <row r="49" spans="1:10" s="1" customFormat="1" ht="18" customHeight="1" x14ac:dyDescent="0.25">
      <c r="A49" s="27">
        <f t="shared" ca="1" si="0"/>
        <v>0.44891656697118232</v>
      </c>
      <c r="B49" s="24">
        <f t="shared" ca="1" si="4"/>
        <v>30</v>
      </c>
      <c r="C49" s="19">
        <v>47</v>
      </c>
      <c r="D49" s="25">
        <f t="shared" si="1"/>
        <v>46209</v>
      </c>
      <c r="E49" s="18">
        <f t="shared" ca="1" si="7"/>
        <v>72952.446800000063</v>
      </c>
      <c r="F49" s="38">
        <f t="shared" ca="1" si="8"/>
        <v>36476.22</v>
      </c>
      <c r="G49" s="37">
        <f t="shared" ca="1" si="9"/>
        <v>40853.366400000006</v>
      </c>
      <c r="H49" s="26">
        <f t="shared" ca="1" si="5"/>
        <v>4377.1464000000051</v>
      </c>
      <c r="I49" s="26">
        <f t="shared" ca="1" si="6"/>
        <v>77329.593200000061</v>
      </c>
      <c r="J49" s="6" t="str">
        <f t="shared" ca="1" si="10"/>
        <v>Ganó limit</v>
      </c>
    </row>
    <row r="50" spans="1:10" s="1" customFormat="1" ht="18" customHeight="1" x14ac:dyDescent="0.25">
      <c r="A50" s="27">
        <f t="shared" ca="1" si="0"/>
        <v>0.22421660571429625</v>
      </c>
      <c r="B50" s="24">
        <f t="shared" ca="1" si="4"/>
        <v>11</v>
      </c>
      <c r="C50" s="19">
        <v>48</v>
      </c>
      <c r="D50" s="25">
        <f t="shared" si="1"/>
        <v>46210</v>
      </c>
      <c r="E50" s="18">
        <f t="shared" ca="1" si="7"/>
        <v>77329.593200000061</v>
      </c>
      <c r="F50" s="38">
        <f t="shared" ca="1" si="8"/>
        <v>38664.800000000003</v>
      </c>
      <c r="G50" s="37">
        <f t="shared" ca="1" si="9"/>
        <v>43304.576000000008</v>
      </c>
      <c r="H50" s="26">
        <f t="shared" ca="1" si="5"/>
        <v>4639.7760000000053</v>
      </c>
      <c r="I50" s="26">
        <f t="shared" ca="1" si="6"/>
        <v>81969.369200000074</v>
      </c>
      <c r="J50" s="6" t="str">
        <f t="shared" ca="1" si="10"/>
        <v>Ganó limit</v>
      </c>
    </row>
    <row r="51" spans="1:10" s="1" customFormat="1" ht="18" customHeight="1" x14ac:dyDescent="0.25">
      <c r="A51" s="27">
        <f t="shared" ca="1" si="0"/>
        <v>0.9033990591009986</v>
      </c>
      <c r="B51" s="24">
        <f t="shared" ca="1" si="4"/>
        <v>52</v>
      </c>
      <c r="C51" s="19">
        <v>49</v>
      </c>
      <c r="D51" s="25">
        <f t="shared" si="1"/>
        <v>46211</v>
      </c>
      <c r="E51" s="18">
        <f t="shared" ca="1" si="7"/>
        <v>81969.369200000074</v>
      </c>
      <c r="F51" s="38">
        <f t="shared" ca="1" si="8"/>
        <v>40984.68</v>
      </c>
      <c r="G51" s="37">
        <f t="shared" ca="1" si="9"/>
        <v>45902.841600000007</v>
      </c>
      <c r="H51" s="26">
        <f t="shared" ca="1" si="5"/>
        <v>4918.1616000000067</v>
      </c>
      <c r="I51" s="26">
        <f t="shared" ca="1" si="6"/>
        <v>86887.53080000008</v>
      </c>
      <c r="J51" s="6" t="str">
        <f t="shared" ca="1" si="10"/>
        <v>Ganó limit</v>
      </c>
    </row>
    <row r="52" spans="1:10" s="1" customFormat="1" ht="18" customHeight="1" x14ac:dyDescent="0.25">
      <c r="A52" s="27">
        <f t="shared" ca="1" si="0"/>
        <v>0.31594893339313612</v>
      </c>
      <c r="B52" s="24">
        <f t="shared" ca="1" si="4"/>
        <v>17</v>
      </c>
      <c r="C52" s="19">
        <v>50</v>
      </c>
      <c r="D52" s="25">
        <f t="shared" si="1"/>
        <v>46212</v>
      </c>
      <c r="E52" s="18">
        <f t="shared" ca="1" si="7"/>
        <v>86887.53080000008</v>
      </c>
      <c r="F52" s="38">
        <f t="shared" ca="1" si="8"/>
        <v>43443.77</v>
      </c>
      <c r="G52" s="37">
        <f t="shared" ca="1" si="9"/>
        <v>48657.022400000002</v>
      </c>
      <c r="H52" s="26">
        <f t="shared" ca="1" si="5"/>
        <v>5213.2524000000049</v>
      </c>
      <c r="I52" s="26">
        <f t="shared" ca="1" si="6"/>
        <v>92100.783200000093</v>
      </c>
      <c r="J52" s="6" t="str">
        <f t="shared" ca="1" si="10"/>
        <v>Ganó limit</v>
      </c>
    </row>
    <row r="53" spans="1:10" s="1" customFormat="1" ht="18" customHeight="1" x14ac:dyDescent="0.25">
      <c r="A53" s="27">
        <f t="shared" ca="1" si="0"/>
        <v>0.44510874595705452</v>
      </c>
      <c r="B53" s="24">
        <f t="shared" ca="1" si="4"/>
        <v>29</v>
      </c>
      <c r="C53" s="19">
        <v>51</v>
      </c>
      <c r="D53" s="25">
        <f t="shared" si="1"/>
        <v>46213</v>
      </c>
      <c r="E53" s="18">
        <f t="shared" ca="1" si="7"/>
        <v>92100.783200000093</v>
      </c>
      <c r="F53" s="38">
        <f t="shared" ca="1" si="8"/>
        <v>46050.39</v>
      </c>
      <c r="G53" s="37">
        <f t="shared" ca="1" si="9"/>
        <v>51576.436800000003</v>
      </c>
      <c r="H53" s="26">
        <f t="shared" ca="1" si="5"/>
        <v>5526.0468000000037</v>
      </c>
      <c r="I53" s="26">
        <f t="shared" ca="1" si="6"/>
        <v>97626.830000000104</v>
      </c>
      <c r="J53" s="6" t="str">
        <f t="shared" ca="1" si="10"/>
        <v>Ganó limit</v>
      </c>
    </row>
    <row r="54" spans="1:10" s="1" customFormat="1" ht="18" customHeight="1" x14ac:dyDescent="0.25">
      <c r="A54" s="27">
        <f t="shared" ca="1" si="0"/>
        <v>0.43755939310381475</v>
      </c>
      <c r="B54" s="24">
        <f t="shared" ca="1" si="4"/>
        <v>28</v>
      </c>
      <c r="C54" s="19">
        <v>52</v>
      </c>
      <c r="D54" s="25">
        <f t="shared" si="1"/>
        <v>46216</v>
      </c>
      <c r="E54" s="18">
        <f t="shared" ca="1" si="7"/>
        <v>97626.830000000104</v>
      </c>
      <c r="F54" s="38">
        <f t="shared" ca="1" si="8"/>
        <v>48813.42</v>
      </c>
      <c r="G54" s="37">
        <f t="shared" ca="1" si="9"/>
        <v>54671.030400000003</v>
      </c>
      <c r="H54" s="26">
        <f t="shared" ca="1" si="5"/>
        <v>5857.610400000005</v>
      </c>
      <c r="I54" s="26">
        <f t="shared" ca="1" si="6"/>
        <v>103484.44040000011</v>
      </c>
      <c r="J54" s="6" t="str">
        <f t="shared" ca="1" si="10"/>
        <v>Ganó limit</v>
      </c>
    </row>
    <row r="55" spans="1:10" s="1" customFormat="1" ht="18" customHeight="1" x14ac:dyDescent="0.25">
      <c r="A55" s="27">
        <f t="shared" ca="1" si="0"/>
        <v>0.15448491623950567</v>
      </c>
      <c r="B55" s="24">
        <f t="shared" ca="1" si="4"/>
        <v>7</v>
      </c>
      <c r="C55" s="19">
        <v>53</v>
      </c>
      <c r="D55" s="25">
        <f t="shared" si="1"/>
        <v>46217</v>
      </c>
      <c r="E55" s="18">
        <f t="shared" ca="1" si="7"/>
        <v>103484.44040000011</v>
      </c>
      <c r="F55" s="38">
        <f t="shared" ca="1" si="8"/>
        <v>51742.22</v>
      </c>
      <c r="G55" s="37">
        <f t="shared" ca="1" si="9"/>
        <v>57951.286400000005</v>
      </c>
      <c r="H55" s="26">
        <f t="shared" ca="1" si="5"/>
        <v>6209.0664000000033</v>
      </c>
      <c r="I55" s="26">
        <f t="shared" ca="1" si="6"/>
        <v>109693.50680000012</v>
      </c>
      <c r="J55" s="6" t="str">
        <f t="shared" ca="1" si="10"/>
        <v>Ganó limit</v>
      </c>
    </row>
    <row r="56" spans="1:10" s="1" customFormat="1" ht="18" customHeight="1" x14ac:dyDescent="0.25">
      <c r="A56" s="27">
        <f t="shared" ca="1" si="0"/>
        <v>0.51143722713136563</v>
      </c>
      <c r="B56" s="24">
        <f t="shared" ca="1" si="4"/>
        <v>36</v>
      </c>
      <c r="C56" s="19">
        <v>54</v>
      </c>
      <c r="D56" s="25">
        <f t="shared" si="1"/>
        <v>46218</v>
      </c>
      <c r="E56" s="18">
        <f t="shared" ca="1" si="7"/>
        <v>109693.50680000012</v>
      </c>
      <c r="F56" s="38">
        <f t="shared" ca="1" si="8"/>
        <v>54846.75</v>
      </c>
      <c r="G56" s="37">
        <f t="shared" ca="1" si="9"/>
        <v>61428.360000000008</v>
      </c>
      <c r="H56" s="26">
        <f t="shared" ca="1" si="5"/>
        <v>6581.6100000000079</v>
      </c>
      <c r="I56" s="26">
        <f t="shared" ca="1" si="6"/>
        <v>116275.11680000013</v>
      </c>
      <c r="J56" s="6" t="str">
        <f t="shared" ca="1" si="10"/>
        <v>Ganó limit</v>
      </c>
    </row>
    <row r="57" spans="1:10" s="1" customFormat="1" ht="18" customHeight="1" x14ac:dyDescent="0.25">
      <c r="A57" s="27">
        <f t="shared" ca="1" si="0"/>
        <v>0.46349924813045951</v>
      </c>
      <c r="B57" s="24">
        <f t="shared" ca="1" si="4"/>
        <v>32</v>
      </c>
      <c r="C57" s="19">
        <v>55</v>
      </c>
      <c r="D57" s="25">
        <f t="shared" si="1"/>
        <v>46219</v>
      </c>
      <c r="E57" s="18">
        <f t="shared" ca="1" si="7"/>
        <v>116275.11680000013</v>
      </c>
      <c r="F57" s="38">
        <f t="shared" ca="1" si="8"/>
        <v>58137.56</v>
      </c>
      <c r="G57" s="37">
        <f t="shared" ca="1" si="9"/>
        <v>65114.067200000005</v>
      </c>
      <c r="H57" s="26">
        <f t="shared" ca="1" si="5"/>
        <v>6976.5072000000073</v>
      </c>
      <c r="I57" s="26">
        <f t="shared" ca="1" si="6"/>
        <v>123251.62400000014</v>
      </c>
      <c r="J57" s="6" t="str">
        <f t="shared" ca="1" si="10"/>
        <v>Ganó limit</v>
      </c>
    </row>
    <row r="58" spans="1:10" s="1" customFormat="1" ht="18" customHeight="1" x14ac:dyDescent="0.25">
      <c r="A58" s="27">
        <f t="shared" ca="1" si="0"/>
        <v>0.38122408419074094</v>
      </c>
      <c r="B58" s="24">
        <f t="shared" ca="1" si="4"/>
        <v>21</v>
      </c>
      <c r="C58" s="19">
        <v>56</v>
      </c>
      <c r="D58" s="25">
        <f t="shared" si="1"/>
        <v>46220</v>
      </c>
      <c r="E58" s="18">
        <f t="shared" ca="1" si="7"/>
        <v>123251.62400000014</v>
      </c>
      <c r="F58" s="38">
        <f t="shared" ca="1" si="8"/>
        <v>61625.81</v>
      </c>
      <c r="G58" s="37">
        <f t="shared" ca="1" si="9"/>
        <v>69020.907200000001</v>
      </c>
      <c r="H58" s="26">
        <f t="shared" ca="1" si="5"/>
        <v>7395.0972000000038</v>
      </c>
      <c r="I58" s="26">
        <f t="shared" ca="1" si="6"/>
        <v>130646.72120000015</v>
      </c>
      <c r="J58" s="6" t="str">
        <f t="shared" ca="1" si="10"/>
        <v>Ganó limit</v>
      </c>
    </row>
    <row r="59" spans="1:10" s="1" customFormat="1" ht="18" customHeight="1" x14ac:dyDescent="0.25">
      <c r="A59" s="27">
        <f t="shared" ca="1" si="0"/>
        <v>0.26492496421821454</v>
      </c>
      <c r="B59" s="24">
        <f t="shared" ca="1" si="4"/>
        <v>15</v>
      </c>
      <c r="C59" s="19">
        <v>57</v>
      </c>
      <c r="D59" s="25">
        <f t="shared" si="1"/>
        <v>46223</v>
      </c>
      <c r="E59" s="18">
        <f t="shared" ca="1" si="7"/>
        <v>130646.72120000015</v>
      </c>
      <c r="F59" s="38">
        <f t="shared" ca="1" si="8"/>
        <v>65323.360000000001</v>
      </c>
      <c r="G59" s="37">
        <f t="shared" ca="1" si="9"/>
        <v>73162.16320000001</v>
      </c>
      <c r="H59" s="26">
        <f t="shared" ca="1" si="5"/>
        <v>7838.8032000000094</v>
      </c>
      <c r="I59" s="26">
        <f t="shared" ca="1" si="6"/>
        <v>138485.52440000017</v>
      </c>
      <c r="J59" s="6" t="str">
        <f t="shared" ca="1" si="10"/>
        <v>Ganó limit</v>
      </c>
    </row>
    <row r="60" spans="1:10" ht="18" customHeight="1" x14ac:dyDescent="0.25">
      <c r="A60" s="28">
        <f ca="1">RAND()</f>
        <v>0.39447391824727573</v>
      </c>
      <c r="B60" s="29">
        <f t="shared" ca="1" si="4"/>
        <v>22</v>
      </c>
      <c r="C60" s="30">
        <v>58</v>
      </c>
      <c r="D60" s="31">
        <f>WORKDAY($L$2,C60-1)</f>
        <v>46224</v>
      </c>
      <c r="E60" s="18">
        <f t="shared" ca="1" si="7"/>
        <v>138485.52440000017</v>
      </c>
      <c r="F60" s="38">
        <f t="shared" ca="1" si="8"/>
        <v>69242.759999999995</v>
      </c>
      <c r="G60" s="37">
        <f t="shared" ca="1" si="9"/>
        <v>77551.891199999998</v>
      </c>
      <c r="H60" s="26">
        <f t="shared" ca="1" si="5"/>
        <v>8309.1312000000034</v>
      </c>
      <c r="I60" s="26">
        <f t="shared" ca="1" si="6"/>
        <v>146794.65560000017</v>
      </c>
      <c r="J60" s="6" t="str">
        <f t="shared" ca="1" si="10"/>
        <v>Ganó limit</v>
      </c>
    </row>
    <row r="61" spans="1:10" x14ac:dyDescent="0.35">
      <c r="E61"/>
      <c r="F61"/>
      <c r="G61"/>
      <c r="H61" s="3"/>
      <c r="I61"/>
      <c r="J61"/>
    </row>
  </sheetData>
  <mergeCells count="3">
    <mergeCell ref="K1:P1"/>
    <mergeCell ref="K12:L12"/>
    <mergeCell ref="A1:J1"/>
  </mergeCells>
  <conditionalFormatting sqref="D2:D1048576">
    <cfRule type="cellIs" dxfId="19" priority="8" operator="equal">
      <formula>TODAY()</formula>
    </cfRule>
  </conditionalFormatting>
  <conditionalFormatting sqref="E3:E60">
    <cfRule type="expression" dxfId="18" priority="7">
      <formula>E3&lt;E2</formula>
    </cfRule>
  </conditionalFormatting>
  <conditionalFormatting sqref="G3:G60">
    <cfRule type="containsText" dxfId="17" priority="13" operator="containsText" text="WIN"/>
    <cfRule type="containsText" dxfId="16" priority="14" operator="containsText" text="LOSS"/>
  </conditionalFormatting>
  <conditionalFormatting sqref="H3:H60 H62:H1048576">
    <cfRule type="cellIs" dxfId="15" priority="9" operator="lessThan">
      <formula>0</formula>
    </cfRule>
    <cfRule type="cellIs" dxfId="14" priority="10" operator="greaterThan">
      <formula>0</formula>
    </cfRule>
  </conditionalFormatting>
  <conditionalFormatting sqref="H3:H60">
    <cfRule type="cellIs" dxfId="13" priority="15" operator="lessThan">
      <formula>0</formula>
    </cfRule>
    <cfRule type="cellIs" dxfId="12" priority="16" operator="greaterThan">
      <formula>0</formula>
    </cfRule>
  </conditionalFormatting>
  <conditionalFormatting sqref="H61">
    <cfRule type="cellIs" dxfId="11" priority="2" operator="equal">
      <formula>TODAY()</formula>
    </cfRule>
  </conditionalFormatting>
  <conditionalFormatting sqref="I3:I60">
    <cfRule type="dataBar" priority="17">
      <dataBar>
        <cfvo type="min"/>
        <cfvo type="max"/>
        <color rgb="FF60A5FA"/>
      </dataBar>
    </cfRule>
    <cfRule type="dataBar" priority="18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{59679F3F-F213-406A-AA1B-715023C7541E}</x14:id>
        </ext>
      </extLst>
    </cfRule>
  </conditionalFormatting>
  <conditionalFormatting sqref="K4 K7">
    <cfRule type="cellIs" dxfId="10" priority="11" operator="lessThan">
      <formula>$K$3</formula>
    </cfRule>
    <cfRule type="cellIs" dxfId="9" priority="12" operator="greaterThan">
      <formula>$K$3</formula>
    </cfRule>
  </conditionalFormatting>
  <conditionalFormatting sqref="K5">
    <cfRule type="cellIs" dxfId="8" priority="3" operator="lessThan">
      <formula>0</formula>
    </cfRule>
    <cfRule type="cellIs" dxfId="7" priority="4" operator="greaterThan">
      <formula>0</formula>
    </cfRule>
  </conditionalFormatting>
  <conditionalFormatting sqref="M8:M9">
    <cfRule type="expression" dxfId="6" priority="1">
      <formula>M8&lt;M7</formula>
    </cfRule>
  </conditionalFormatting>
  <conditionalFormatting sqref="O8">
    <cfRule type="cellIs" dxfId="5" priority="5" operator="lessThan">
      <formula>$M$7</formula>
    </cfRule>
  </conditionalFormatting>
  <conditionalFormatting sqref="O9">
    <cfRule type="cellIs" dxfId="4" priority="6" operator="greaterThan">
      <formula>0+$M$7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679F3F-F213-406A-AA1B-715023C7541E}">
            <x14:dataBar>
              <x14:cfvo type="min"/>
              <x14:cfvo type="max"/>
              <x14:negativeFillColor auto="1"/>
              <x14:axisColor auto="1"/>
            </x14:dataBar>
          </x14:cfRule>
          <xm:sqref>I3:I60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5238-9B74-4AFE-B677-633161A1ACF7}">
  <sheetPr>
    <outlinePr summaryBelow="0" summaryRight="0"/>
    <pageSetUpPr fitToPage="1"/>
  </sheetPr>
  <dimension ref="A1:H53"/>
  <sheetViews>
    <sheetView showGridLines="0" zoomScale="90" workbookViewId="0">
      <pane ySplit="3" topLeftCell="A4" activePane="bottomLeft" state="frozen"/>
      <selection pane="bottomLeft" activeCell="F53" sqref="F53"/>
    </sheetView>
  </sheetViews>
  <sheetFormatPr baseColWidth="10" defaultColWidth="10" defaultRowHeight="15.75" customHeight="1" x14ac:dyDescent="0.2"/>
  <cols>
    <col min="1" max="1" width="3" style="41" bestFit="1" customWidth="1"/>
    <col min="2" max="2" width="42.5703125" style="41" bestFit="1" customWidth="1"/>
    <col min="3" max="3" width="15.28515625" style="41" bestFit="1" customWidth="1"/>
    <col min="4" max="4" width="17.28515625" style="41" bestFit="1" customWidth="1"/>
    <col min="5" max="5" width="21.140625" style="41" bestFit="1" customWidth="1"/>
    <col min="6" max="6" width="49.140625" style="41" bestFit="1" customWidth="1"/>
    <col min="7" max="7" width="14" style="41" bestFit="1" customWidth="1"/>
    <col min="8" max="8" width="79.7109375" style="41" bestFit="1" customWidth="1"/>
    <col min="9" max="16384" width="10" style="41"/>
  </cols>
  <sheetData>
    <row r="1" spans="1:8" ht="33.950000000000003" customHeight="1" x14ac:dyDescent="0.25">
      <c r="A1" s="93" t="s">
        <v>265</v>
      </c>
      <c r="B1" s="94"/>
      <c r="C1" s="94"/>
      <c r="D1" s="94"/>
      <c r="E1" s="94"/>
      <c r="F1" s="94"/>
      <c r="G1" s="94"/>
      <c r="H1" s="94"/>
    </row>
    <row r="2" spans="1:8" ht="21.95" customHeight="1" x14ac:dyDescent="0.25">
      <c r="A2" s="95" t="s">
        <v>264</v>
      </c>
      <c r="B2" s="94"/>
      <c r="C2" s="94"/>
      <c r="D2" s="94"/>
      <c r="E2" s="94"/>
      <c r="F2" s="94"/>
      <c r="G2" s="94"/>
      <c r="H2" s="94"/>
    </row>
    <row r="3" spans="1:8" ht="27.95" customHeight="1" x14ac:dyDescent="0.2">
      <c r="A3" s="57" t="s">
        <v>263</v>
      </c>
      <c r="B3" s="57" t="s">
        <v>262</v>
      </c>
      <c r="C3" s="57" t="s">
        <v>65</v>
      </c>
      <c r="D3" s="57" t="s">
        <v>261</v>
      </c>
      <c r="E3" s="57" t="s">
        <v>260</v>
      </c>
      <c r="F3" s="57" t="s">
        <v>259</v>
      </c>
      <c r="G3" s="57" t="s">
        <v>258</v>
      </c>
      <c r="H3" s="57" t="s">
        <v>66</v>
      </c>
    </row>
    <row r="4" spans="1:8" ht="24" customHeight="1" x14ac:dyDescent="0.25">
      <c r="A4" s="52">
        <v>1</v>
      </c>
      <c r="B4" s="51" t="s">
        <v>257</v>
      </c>
      <c r="C4" s="48" t="s">
        <v>218</v>
      </c>
      <c r="D4" s="50" t="s">
        <v>217</v>
      </c>
      <c r="E4" s="50" t="s">
        <v>226</v>
      </c>
      <c r="F4" s="49" t="s">
        <v>134</v>
      </c>
      <c r="G4" s="48" t="s">
        <v>86</v>
      </c>
      <c r="H4" s="42" t="s">
        <v>256</v>
      </c>
    </row>
    <row r="5" spans="1:8" ht="24" customHeight="1" x14ac:dyDescent="0.25">
      <c r="A5" s="47">
        <v>2</v>
      </c>
      <c r="B5" s="46" t="s">
        <v>255</v>
      </c>
      <c r="C5" s="43" t="s">
        <v>254</v>
      </c>
      <c r="D5" s="45" t="s">
        <v>253</v>
      </c>
      <c r="E5" s="50" t="s">
        <v>226</v>
      </c>
      <c r="F5" s="44" t="s">
        <v>252</v>
      </c>
      <c r="G5" s="43" t="s">
        <v>86</v>
      </c>
      <c r="H5" s="42" t="s">
        <v>251</v>
      </c>
    </row>
    <row r="6" spans="1:8" ht="24" customHeight="1" x14ac:dyDescent="0.25">
      <c r="A6" s="52">
        <v>3</v>
      </c>
      <c r="B6" s="51" t="s">
        <v>250</v>
      </c>
      <c r="C6" s="48" t="s">
        <v>249</v>
      </c>
      <c r="D6" s="50" t="s">
        <v>248</v>
      </c>
      <c r="E6" s="50" t="s">
        <v>226</v>
      </c>
      <c r="F6" s="49" t="s">
        <v>194</v>
      </c>
      <c r="G6" s="48" t="s">
        <v>86</v>
      </c>
      <c r="H6" s="42" t="s">
        <v>247</v>
      </c>
    </row>
    <row r="7" spans="1:8" ht="24" customHeight="1" x14ac:dyDescent="0.25">
      <c r="A7" s="47">
        <v>4</v>
      </c>
      <c r="B7" s="46" t="s">
        <v>246</v>
      </c>
      <c r="C7" s="43" t="s">
        <v>245</v>
      </c>
      <c r="D7" s="45" t="s">
        <v>244</v>
      </c>
      <c r="E7" s="50" t="s">
        <v>226</v>
      </c>
      <c r="F7" s="44" t="s">
        <v>194</v>
      </c>
      <c r="G7" s="43" t="s">
        <v>86</v>
      </c>
      <c r="H7" s="42" t="s">
        <v>243</v>
      </c>
    </row>
    <row r="8" spans="1:8" ht="24" customHeight="1" x14ac:dyDescent="0.25">
      <c r="A8" s="52">
        <v>5</v>
      </c>
      <c r="B8" s="51" t="s">
        <v>242</v>
      </c>
      <c r="C8" s="48" t="s">
        <v>241</v>
      </c>
      <c r="D8" s="50" t="s">
        <v>240</v>
      </c>
      <c r="E8" s="50" t="s">
        <v>226</v>
      </c>
      <c r="F8" s="49" t="s">
        <v>225</v>
      </c>
      <c r="G8" s="48" t="s">
        <v>86</v>
      </c>
      <c r="H8" s="42" t="s">
        <v>239</v>
      </c>
    </row>
    <row r="9" spans="1:8" ht="24" customHeight="1" x14ac:dyDescent="0.25">
      <c r="A9" s="47">
        <v>6</v>
      </c>
      <c r="B9" s="46" t="s">
        <v>238</v>
      </c>
      <c r="C9" s="43" t="s">
        <v>237</v>
      </c>
      <c r="D9" s="45" t="s">
        <v>236</v>
      </c>
      <c r="E9" s="50" t="s">
        <v>226</v>
      </c>
      <c r="F9" s="44" t="s">
        <v>235</v>
      </c>
      <c r="G9" s="43" t="s">
        <v>86</v>
      </c>
      <c r="H9" s="42" t="s">
        <v>234</v>
      </c>
    </row>
    <row r="10" spans="1:8" ht="24" customHeight="1" x14ac:dyDescent="0.25">
      <c r="A10" s="52">
        <v>7</v>
      </c>
      <c r="B10" s="51" t="s">
        <v>233</v>
      </c>
      <c r="C10" s="48" t="s">
        <v>232</v>
      </c>
      <c r="D10" s="50" t="s">
        <v>231</v>
      </c>
      <c r="E10" s="50" t="s">
        <v>226</v>
      </c>
      <c r="F10" s="49" t="s">
        <v>121</v>
      </c>
      <c r="G10" s="48" t="s">
        <v>86</v>
      </c>
      <c r="H10" s="42" t="s">
        <v>230</v>
      </c>
    </row>
    <row r="11" spans="1:8" ht="24" customHeight="1" x14ac:dyDescent="0.25">
      <c r="A11" s="47">
        <v>8</v>
      </c>
      <c r="B11" s="46" t="s">
        <v>229</v>
      </c>
      <c r="C11" s="43" t="s">
        <v>228</v>
      </c>
      <c r="D11" s="45" t="s">
        <v>227</v>
      </c>
      <c r="E11" s="50" t="s">
        <v>226</v>
      </c>
      <c r="F11" s="44" t="s">
        <v>225</v>
      </c>
      <c r="G11" s="43" t="s">
        <v>86</v>
      </c>
      <c r="H11" s="42" t="s">
        <v>224</v>
      </c>
    </row>
    <row r="12" spans="1:8" ht="24" customHeight="1" x14ac:dyDescent="0.25">
      <c r="A12" s="52">
        <v>9</v>
      </c>
      <c r="B12" s="51" t="s">
        <v>223</v>
      </c>
      <c r="C12" s="48" t="s">
        <v>222</v>
      </c>
      <c r="D12" s="50" t="s">
        <v>221</v>
      </c>
      <c r="E12" s="50" t="s">
        <v>200</v>
      </c>
      <c r="F12" s="49" t="s">
        <v>199</v>
      </c>
      <c r="G12" s="48" t="s">
        <v>86</v>
      </c>
      <c r="H12" s="42" t="s">
        <v>220</v>
      </c>
    </row>
    <row r="13" spans="1:8" ht="24" customHeight="1" x14ac:dyDescent="0.25">
      <c r="A13" s="47">
        <v>10</v>
      </c>
      <c r="B13" s="46" t="s">
        <v>219</v>
      </c>
      <c r="C13" s="43" t="s">
        <v>218</v>
      </c>
      <c r="D13" s="45" t="s">
        <v>217</v>
      </c>
      <c r="E13" s="50" t="s">
        <v>200</v>
      </c>
      <c r="F13" s="44" t="s">
        <v>199</v>
      </c>
      <c r="G13" s="43" t="s">
        <v>86</v>
      </c>
      <c r="H13" s="42" t="s">
        <v>216</v>
      </c>
    </row>
    <row r="14" spans="1:8" ht="24" customHeight="1" x14ac:dyDescent="0.25">
      <c r="A14" s="52">
        <v>11</v>
      </c>
      <c r="B14" s="51" t="s">
        <v>215</v>
      </c>
      <c r="C14" s="48" t="s">
        <v>214</v>
      </c>
      <c r="D14" s="50" t="s">
        <v>213</v>
      </c>
      <c r="E14" s="50" t="s">
        <v>200</v>
      </c>
      <c r="F14" s="49" t="s">
        <v>199</v>
      </c>
      <c r="G14" s="48" t="s">
        <v>86</v>
      </c>
      <c r="H14" s="42" t="s">
        <v>212</v>
      </c>
    </row>
    <row r="15" spans="1:8" ht="24" customHeight="1" x14ac:dyDescent="0.25">
      <c r="A15" s="47">
        <v>12</v>
      </c>
      <c r="B15" s="46" t="s">
        <v>211</v>
      </c>
      <c r="C15" s="43" t="s">
        <v>210</v>
      </c>
      <c r="D15" s="45" t="s">
        <v>209</v>
      </c>
      <c r="E15" s="50" t="s">
        <v>200</v>
      </c>
      <c r="F15" s="44" t="s">
        <v>199</v>
      </c>
      <c r="G15" s="43" t="s">
        <v>86</v>
      </c>
      <c r="H15" s="42" t="s">
        <v>208</v>
      </c>
    </row>
    <row r="16" spans="1:8" ht="24" customHeight="1" x14ac:dyDescent="0.25">
      <c r="A16" s="52">
        <v>13</v>
      </c>
      <c r="B16" s="51" t="s">
        <v>207</v>
      </c>
      <c r="C16" s="48" t="s">
        <v>206</v>
      </c>
      <c r="D16" s="50" t="s">
        <v>205</v>
      </c>
      <c r="E16" s="50" t="s">
        <v>200</v>
      </c>
      <c r="F16" s="49" t="s">
        <v>199</v>
      </c>
      <c r="G16" s="48" t="s">
        <v>86</v>
      </c>
      <c r="H16" s="42" t="s">
        <v>204</v>
      </c>
    </row>
    <row r="17" spans="1:8" ht="24" customHeight="1" x14ac:dyDescent="0.25">
      <c r="A17" s="47">
        <v>14</v>
      </c>
      <c r="B17" s="46" t="s">
        <v>203</v>
      </c>
      <c r="C17" s="43" t="s">
        <v>202</v>
      </c>
      <c r="D17" s="45" t="s">
        <v>201</v>
      </c>
      <c r="E17" s="50" t="s">
        <v>200</v>
      </c>
      <c r="F17" s="44" t="s">
        <v>199</v>
      </c>
      <c r="G17" s="43" t="s">
        <v>86</v>
      </c>
      <c r="H17" s="42" t="s">
        <v>198</v>
      </c>
    </row>
    <row r="18" spans="1:8" ht="24" customHeight="1" x14ac:dyDescent="0.25">
      <c r="A18" s="52">
        <v>15</v>
      </c>
      <c r="B18" s="51" t="s">
        <v>197</v>
      </c>
      <c r="C18" s="48" t="s">
        <v>196</v>
      </c>
      <c r="D18" s="50" t="s">
        <v>195</v>
      </c>
      <c r="E18" s="50" t="s">
        <v>186</v>
      </c>
      <c r="F18" s="49" t="s">
        <v>194</v>
      </c>
      <c r="G18" s="48" t="s">
        <v>37</v>
      </c>
      <c r="H18" s="42" t="s">
        <v>193</v>
      </c>
    </row>
    <row r="19" spans="1:8" ht="24" customHeight="1" x14ac:dyDescent="0.25">
      <c r="A19" s="47">
        <v>16</v>
      </c>
      <c r="B19" s="46" t="s">
        <v>192</v>
      </c>
      <c r="C19" s="43" t="s">
        <v>191</v>
      </c>
      <c r="D19" s="45" t="s">
        <v>112</v>
      </c>
      <c r="E19" s="50" t="s">
        <v>186</v>
      </c>
      <c r="F19" s="44" t="s">
        <v>185</v>
      </c>
      <c r="G19" s="43" t="s">
        <v>86</v>
      </c>
      <c r="H19" s="42" t="s">
        <v>190</v>
      </c>
    </row>
    <row r="20" spans="1:8" ht="24" customHeight="1" x14ac:dyDescent="0.25">
      <c r="A20" s="52">
        <v>17</v>
      </c>
      <c r="B20" s="51" t="s">
        <v>189</v>
      </c>
      <c r="C20" s="48" t="s">
        <v>188</v>
      </c>
      <c r="D20" s="50" t="s">
        <v>187</v>
      </c>
      <c r="E20" s="50" t="s">
        <v>186</v>
      </c>
      <c r="F20" s="49" t="s">
        <v>185</v>
      </c>
      <c r="G20" s="48" t="s">
        <v>37</v>
      </c>
      <c r="H20" s="42" t="s">
        <v>184</v>
      </c>
    </row>
    <row r="21" spans="1:8" ht="24" customHeight="1" x14ac:dyDescent="0.25">
      <c r="A21" s="47">
        <v>18</v>
      </c>
      <c r="B21" s="46" t="s">
        <v>183</v>
      </c>
      <c r="C21" s="43" t="s">
        <v>182</v>
      </c>
      <c r="D21" s="45" t="s">
        <v>181</v>
      </c>
      <c r="E21" s="45" t="s">
        <v>171</v>
      </c>
      <c r="F21" s="44" t="s">
        <v>176</v>
      </c>
      <c r="G21" s="43" t="s">
        <v>37</v>
      </c>
      <c r="H21" s="42" t="s">
        <v>180</v>
      </c>
    </row>
    <row r="22" spans="1:8" ht="24" customHeight="1" x14ac:dyDescent="0.25">
      <c r="A22" s="52">
        <v>19</v>
      </c>
      <c r="B22" s="51" t="s">
        <v>179</v>
      </c>
      <c r="C22" s="48" t="s">
        <v>178</v>
      </c>
      <c r="D22" s="50" t="s">
        <v>177</v>
      </c>
      <c r="E22" s="45" t="s">
        <v>171</v>
      </c>
      <c r="F22" s="49" t="s">
        <v>176</v>
      </c>
      <c r="G22" s="48" t="s">
        <v>37</v>
      </c>
      <c r="H22" s="42" t="s">
        <v>175</v>
      </c>
    </row>
    <row r="23" spans="1:8" ht="24" customHeight="1" x14ac:dyDescent="0.25">
      <c r="A23" s="47">
        <v>20</v>
      </c>
      <c r="B23" s="46" t="s">
        <v>174</v>
      </c>
      <c r="C23" s="43" t="s">
        <v>173</v>
      </c>
      <c r="D23" s="45" t="s">
        <v>172</v>
      </c>
      <c r="E23" s="45" t="s">
        <v>171</v>
      </c>
      <c r="F23" s="44" t="s">
        <v>170</v>
      </c>
      <c r="G23" s="43" t="s">
        <v>37</v>
      </c>
      <c r="H23" s="42" t="s">
        <v>169</v>
      </c>
    </row>
    <row r="24" spans="1:8" ht="24" customHeight="1" x14ac:dyDescent="0.25">
      <c r="A24" s="52">
        <v>21</v>
      </c>
      <c r="B24" s="51" t="s">
        <v>168</v>
      </c>
      <c r="C24" s="48" t="s">
        <v>167</v>
      </c>
      <c r="D24" s="50" t="s">
        <v>166</v>
      </c>
      <c r="E24" s="50" t="s">
        <v>161</v>
      </c>
      <c r="F24" s="49" t="s">
        <v>38</v>
      </c>
      <c r="G24" s="48" t="s">
        <v>37</v>
      </c>
      <c r="H24" s="42" t="s">
        <v>165</v>
      </c>
    </row>
    <row r="25" spans="1:8" ht="24" customHeight="1" x14ac:dyDescent="0.25">
      <c r="A25" s="47">
        <v>22</v>
      </c>
      <c r="B25" s="46" t="s">
        <v>164</v>
      </c>
      <c r="C25" s="43" t="s">
        <v>145</v>
      </c>
      <c r="D25" s="45" t="s">
        <v>144</v>
      </c>
      <c r="E25" s="50" t="s">
        <v>161</v>
      </c>
      <c r="F25" s="44" t="s">
        <v>38</v>
      </c>
      <c r="G25" s="43" t="s">
        <v>86</v>
      </c>
      <c r="H25" s="42" t="s">
        <v>163</v>
      </c>
    </row>
    <row r="26" spans="1:8" ht="24" customHeight="1" x14ac:dyDescent="0.25">
      <c r="A26" s="52">
        <v>23</v>
      </c>
      <c r="B26" s="51" t="s">
        <v>162</v>
      </c>
      <c r="C26" s="48" t="s">
        <v>109</v>
      </c>
      <c r="D26" s="50" t="s">
        <v>59</v>
      </c>
      <c r="E26" s="50" t="s">
        <v>161</v>
      </c>
      <c r="F26" s="49" t="s">
        <v>38</v>
      </c>
      <c r="G26" s="48" t="s">
        <v>37</v>
      </c>
      <c r="H26" s="42" t="s">
        <v>160</v>
      </c>
    </row>
    <row r="27" spans="1:8" ht="24" customHeight="1" x14ac:dyDescent="0.25">
      <c r="A27" s="47">
        <v>24</v>
      </c>
      <c r="B27" s="46" t="s">
        <v>159</v>
      </c>
      <c r="C27" s="43" t="s">
        <v>131</v>
      </c>
      <c r="D27" s="45" t="s">
        <v>45</v>
      </c>
      <c r="E27" s="45" t="s">
        <v>156</v>
      </c>
      <c r="F27" s="44" t="s">
        <v>38</v>
      </c>
      <c r="G27" s="43" t="s">
        <v>37</v>
      </c>
      <c r="H27" s="42" t="s">
        <v>158</v>
      </c>
    </row>
    <row r="28" spans="1:8" ht="24" customHeight="1" x14ac:dyDescent="0.25">
      <c r="A28" s="47">
        <v>26</v>
      </c>
      <c r="B28" s="46" t="s">
        <v>157</v>
      </c>
      <c r="C28" s="43" t="s">
        <v>51</v>
      </c>
      <c r="D28" s="45" t="s">
        <v>50</v>
      </c>
      <c r="E28" s="45" t="s">
        <v>156</v>
      </c>
      <c r="F28" s="44" t="s">
        <v>38</v>
      </c>
      <c r="G28" s="43" t="s">
        <v>37</v>
      </c>
      <c r="H28" s="42" t="s">
        <v>155</v>
      </c>
    </row>
    <row r="29" spans="1:8" ht="24" customHeight="1" x14ac:dyDescent="0.25">
      <c r="A29" s="52">
        <v>27</v>
      </c>
      <c r="B29" s="51" t="s">
        <v>154</v>
      </c>
      <c r="C29" s="48" t="s">
        <v>153</v>
      </c>
      <c r="D29" s="50" t="s">
        <v>152</v>
      </c>
      <c r="E29" s="50" t="s">
        <v>139</v>
      </c>
      <c r="F29" s="49" t="s">
        <v>138</v>
      </c>
      <c r="G29" s="48" t="s">
        <v>37</v>
      </c>
      <c r="H29" s="42" t="s">
        <v>151</v>
      </c>
    </row>
    <row r="30" spans="1:8" ht="24" customHeight="1" x14ac:dyDescent="0.25">
      <c r="A30" s="52">
        <v>29</v>
      </c>
      <c r="B30" s="51" t="s">
        <v>150</v>
      </c>
      <c r="C30" s="48" t="s">
        <v>149</v>
      </c>
      <c r="D30" s="50" t="s">
        <v>148</v>
      </c>
      <c r="E30" s="50" t="s">
        <v>139</v>
      </c>
      <c r="F30" s="49" t="s">
        <v>138</v>
      </c>
      <c r="G30" s="48" t="s">
        <v>37</v>
      </c>
      <c r="H30" s="42" t="s">
        <v>147</v>
      </c>
    </row>
    <row r="31" spans="1:8" ht="24" customHeight="1" x14ac:dyDescent="0.25">
      <c r="A31" s="47">
        <v>30</v>
      </c>
      <c r="B31" s="46" t="s">
        <v>146</v>
      </c>
      <c r="C31" s="43" t="s">
        <v>145</v>
      </c>
      <c r="D31" s="45" t="s">
        <v>144</v>
      </c>
      <c r="E31" s="50" t="s">
        <v>139</v>
      </c>
      <c r="F31" s="44" t="s">
        <v>138</v>
      </c>
      <c r="G31" s="43" t="s">
        <v>86</v>
      </c>
      <c r="H31" s="42" t="s">
        <v>143</v>
      </c>
    </row>
    <row r="32" spans="1:8" ht="24" customHeight="1" x14ac:dyDescent="0.25">
      <c r="A32" s="52">
        <v>31</v>
      </c>
      <c r="B32" s="51" t="s">
        <v>142</v>
      </c>
      <c r="C32" s="48" t="s">
        <v>141</v>
      </c>
      <c r="D32" s="50" t="s">
        <v>140</v>
      </c>
      <c r="E32" s="50" t="s">
        <v>139</v>
      </c>
      <c r="F32" s="49" t="s">
        <v>138</v>
      </c>
      <c r="G32" s="48" t="s">
        <v>37</v>
      </c>
      <c r="H32" s="42" t="s">
        <v>137</v>
      </c>
    </row>
    <row r="33" spans="1:8" ht="24" customHeight="1" x14ac:dyDescent="0.25">
      <c r="A33" s="47">
        <v>32</v>
      </c>
      <c r="B33" s="46" t="s">
        <v>136</v>
      </c>
      <c r="C33" s="43" t="s">
        <v>51</v>
      </c>
      <c r="D33" s="45" t="s">
        <v>135</v>
      </c>
      <c r="E33" s="45" t="s">
        <v>122</v>
      </c>
      <c r="F33" s="44" t="s">
        <v>134</v>
      </c>
      <c r="G33" s="43" t="s">
        <v>37</v>
      </c>
      <c r="H33" s="42" t="s">
        <v>133</v>
      </c>
    </row>
    <row r="34" spans="1:8" ht="24" customHeight="1" x14ac:dyDescent="0.25">
      <c r="A34" s="52">
        <v>33</v>
      </c>
      <c r="B34" s="51" t="s">
        <v>132</v>
      </c>
      <c r="C34" s="48" t="s">
        <v>131</v>
      </c>
      <c r="D34" s="50" t="s">
        <v>130</v>
      </c>
      <c r="E34" s="45" t="s">
        <v>122</v>
      </c>
      <c r="F34" s="49" t="s">
        <v>121</v>
      </c>
      <c r="G34" s="48" t="s">
        <v>86</v>
      </c>
      <c r="H34" s="42" t="s">
        <v>129</v>
      </c>
    </row>
    <row r="35" spans="1:8" ht="24" customHeight="1" x14ac:dyDescent="0.25">
      <c r="A35" s="47">
        <v>34</v>
      </c>
      <c r="B35" s="46" t="s">
        <v>128</v>
      </c>
      <c r="C35" s="43" t="s">
        <v>127</v>
      </c>
      <c r="D35" s="45" t="s">
        <v>82</v>
      </c>
      <c r="E35" s="45" t="s">
        <v>122</v>
      </c>
      <c r="F35" s="44" t="s">
        <v>121</v>
      </c>
      <c r="G35" s="43" t="s">
        <v>37</v>
      </c>
      <c r="H35" s="42" t="s">
        <v>126</v>
      </c>
    </row>
    <row r="36" spans="1:8" ht="24" customHeight="1" x14ac:dyDescent="0.25">
      <c r="A36" s="52">
        <v>35</v>
      </c>
      <c r="B36" s="51" t="s">
        <v>125</v>
      </c>
      <c r="C36" s="48" t="s">
        <v>124</v>
      </c>
      <c r="D36" s="50" t="s">
        <v>123</v>
      </c>
      <c r="E36" s="45" t="s">
        <v>122</v>
      </c>
      <c r="F36" s="49" t="s">
        <v>121</v>
      </c>
      <c r="G36" s="48" t="s">
        <v>37</v>
      </c>
      <c r="H36" s="42" t="s">
        <v>120</v>
      </c>
    </row>
    <row r="37" spans="1:8" ht="24" customHeight="1" x14ac:dyDescent="0.25">
      <c r="A37" s="47">
        <v>36</v>
      </c>
      <c r="B37" s="46" t="s">
        <v>119</v>
      </c>
      <c r="C37" s="43" t="s">
        <v>118</v>
      </c>
      <c r="D37" s="45" t="s">
        <v>117</v>
      </c>
      <c r="E37" s="45" t="s">
        <v>107</v>
      </c>
      <c r="F37" s="44" t="s">
        <v>116</v>
      </c>
      <c r="G37" s="43" t="s">
        <v>37</v>
      </c>
      <c r="H37" s="42" t="s">
        <v>115</v>
      </c>
    </row>
    <row r="38" spans="1:8" ht="24" customHeight="1" x14ac:dyDescent="0.25">
      <c r="A38" s="52">
        <v>37</v>
      </c>
      <c r="B38" s="51" t="s">
        <v>114</v>
      </c>
      <c r="C38" s="48" t="s">
        <v>113</v>
      </c>
      <c r="D38" s="50" t="s">
        <v>112</v>
      </c>
      <c r="E38" s="45" t="s">
        <v>107</v>
      </c>
      <c r="F38" s="49" t="s">
        <v>38</v>
      </c>
      <c r="G38" s="48" t="s">
        <v>37</v>
      </c>
      <c r="H38" s="42" t="s">
        <v>111</v>
      </c>
    </row>
    <row r="39" spans="1:8" ht="24" customHeight="1" x14ac:dyDescent="0.25">
      <c r="A39" s="47">
        <v>38</v>
      </c>
      <c r="B39" s="46" t="s">
        <v>110</v>
      </c>
      <c r="C39" s="43" t="s">
        <v>109</v>
      </c>
      <c r="D39" s="45" t="s">
        <v>108</v>
      </c>
      <c r="E39" s="45" t="s">
        <v>107</v>
      </c>
      <c r="F39" s="44" t="s">
        <v>38</v>
      </c>
      <c r="G39" s="43" t="s">
        <v>37</v>
      </c>
      <c r="H39" s="42" t="s">
        <v>106</v>
      </c>
    </row>
    <row r="40" spans="1:8" ht="24" customHeight="1" x14ac:dyDescent="0.25">
      <c r="A40" s="52">
        <v>39</v>
      </c>
      <c r="B40" s="51" t="s">
        <v>105</v>
      </c>
      <c r="C40" s="48" t="s">
        <v>104</v>
      </c>
      <c r="D40" s="50" t="s">
        <v>103</v>
      </c>
      <c r="E40" s="50" t="s">
        <v>98</v>
      </c>
      <c r="F40" s="49" t="s">
        <v>97</v>
      </c>
      <c r="G40" s="48" t="s">
        <v>86</v>
      </c>
      <c r="H40" s="42" t="s">
        <v>102</v>
      </c>
    </row>
    <row r="41" spans="1:8" ht="24" customHeight="1" x14ac:dyDescent="0.25">
      <c r="A41" s="47">
        <v>40</v>
      </c>
      <c r="B41" s="46" t="s">
        <v>101</v>
      </c>
      <c r="C41" s="43" t="s">
        <v>100</v>
      </c>
      <c r="D41" s="45" t="s">
        <v>99</v>
      </c>
      <c r="E41" s="50" t="s">
        <v>98</v>
      </c>
      <c r="F41" s="44" t="s">
        <v>97</v>
      </c>
      <c r="G41" s="43" t="s">
        <v>86</v>
      </c>
      <c r="H41" s="42" t="s">
        <v>96</v>
      </c>
    </row>
    <row r="42" spans="1:8" ht="24" customHeight="1" x14ac:dyDescent="0.25">
      <c r="A42" s="52">
        <v>41</v>
      </c>
      <c r="B42" s="51" t="s">
        <v>95</v>
      </c>
      <c r="C42" s="48" t="s">
        <v>94</v>
      </c>
      <c r="D42" s="50" t="s">
        <v>93</v>
      </c>
      <c r="E42" s="50" t="s">
        <v>81</v>
      </c>
      <c r="F42" s="49" t="s">
        <v>92</v>
      </c>
      <c r="G42" s="48" t="s">
        <v>37</v>
      </c>
      <c r="H42" s="42" t="s">
        <v>91</v>
      </c>
    </row>
    <row r="43" spans="1:8" ht="24" customHeight="1" x14ac:dyDescent="0.25">
      <c r="A43" s="47">
        <v>42</v>
      </c>
      <c r="B43" s="46" t="s">
        <v>90</v>
      </c>
      <c r="C43" s="43" t="s">
        <v>89</v>
      </c>
      <c r="D43" s="45" t="s">
        <v>88</v>
      </c>
      <c r="E43" s="50" t="s">
        <v>81</v>
      </c>
      <c r="F43" s="44" t="s">
        <v>87</v>
      </c>
      <c r="G43" s="43" t="s">
        <v>86</v>
      </c>
      <c r="H43" s="42" t="s">
        <v>85</v>
      </c>
    </row>
    <row r="44" spans="1:8" ht="24" customHeight="1" x14ac:dyDescent="0.25">
      <c r="A44" s="52">
        <v>43</v>
      </c>
      <c r="B44" s="51" t="s">
        <v>84</v>
      </c>
      <c r="C44" s="48" t="s">
        <v>83</v>
      </c>
      <c r="D44" s="50" t="s">
        <v>82</v>
      </c>
      <c r="E44" s="50" t="s">
        <v>81</v>
      </c>
      <c r="F44" s="49" t="s">
        <v>80</v>
      </c>
      <c r="G44" s="48" t="s">
        <v>37</v>
      </c>
      <c r="H44" s="42" t="s">
        <v>79</v>
      </c>
    </row>
    <row r="45" spans="1:8" ht="24" customHeight="1" x14ac:dyDescent="0.25">
      <c r="A45" s="47">
        <v>44</v>
      </c>
      <c r="B45" s="46" t="s">
        <v>78</v>
      </c>
      <c r="C45" s="43" t="s">
        <v>77</v>
      </c>
      <c r="D45" s="45" t="s">
        <v>76</v>
      </c>
      <c r="E45" s="45" t="s">
        <v>75</v>
      </c>
      <c r="F45" s="44" t="s">
        <v>74</v>
      </c>
      <c r="G45" s="43" t="s">
        <v>37</v>
      </c>
      <c r="H45" s="42" t="s">
        <v>73</v>
      </c>
    </row>
    <row r="46" spans="1:8" ht="24" customHeight="1" x14ac:dyDescent="0.25">
      <c r="A46" s="52">
        <v>45</v>
      </c>
      <c r="B46" s="51" t="s">
        <v>72</v>
      </c>
      <c r="C46" s="48" t="s">
        <v>71</v>
      </c>
      <c r="D46" s="50" t="s">
        <v>70</v>
      </c>
      <c r="E46" s="50" t="s">
        <v>69</v>
      </c>
      <c r="F46" s="49" t="s">
        <v>38</v>
      </c>
      <c r="G46" s="48" t="s">
        <v>37</v>
      </c>
      <c r="H46" s="42" t="s">
        <v>68</v>
      </c>
    </row>
    <row r="47" spans="1:8" ht="24" customHeight="1" x14ac:dyDescent="0.25">
      <c r="A47" s="47">
        <v>48</v>
      </c>
      <c r="B47" s="46" t="s">
        <v>67</v>
      </c>
      <c r="C47" s="54"/>
      <c r="D47" s="56"/>
      <c r="E47" s="56"/>
      <c r="F47" s="55"/>
      <c r="G47" s="54"/>
      <c r="H47" s="53"/>
    </row>
    <row r="48" spans="1:8" ht="24" customHeight="1" x14ac:dyDescent="0.25">
      <c r="A48" s="52">
        <v>49</v>
      </c>
      <c r="B48" s="51" t="s">
        <v>66</v>
      </c>
      <c r="C48" s="48" t="s">
        <v>65</v>
      </c>
      <c r="D48" s="50" t="s">
        <v>64</v>
      </c>
      <c r="E48" s="50" t="s">
        <v>62</v>
      </c>
      <c r="F48" s="49" t="s">
        <v>63</v>
      </c>
      <c r="G48" s="48" t="s">
        <v>62</v>
      </c>
      <c r="H48" s="42"/>
    </row>
    <row r="49" spans="1:8" ht="24" customHeight="1" x14ac:dyDescent="0.25">
      <c r="A49" s="47">
        <v>50</v>
      </c>
      <c r="B49" s="46" t="s">
        <v>61</v>
      </c>
      <c r="C49" s="43" t="s">
        <v>60</v>
      </c>
      <c r="D49" s="45" t="s">
        <v>59</v>
      </c>
      <c r="E49" s="45" t="s">
        <v>54</v>
      </c>
      <c r="F49" s="44" t="s">
        <v>43</v>
      </c>
      <c r="G49" s="43" t="s">
        <v>37</v>
      </c>
      <c r="H49" s="42" t="s">
        <v>58</v>
      </c>
    </row>
    <row r="50" spans="1:8" ht="24" customHeight="1" x14ac:dyDescent="0.25">
      <c r="A50" s="52">
        <v>51</v>
      </c>
      <c r="B50" s="51" t="s">
        <v>57</v>
      </c>
      <c r="C50" s="48" t="s">
        <v>56</v>
      </c>
      <c r="D50" s="50" t="s">
        <v>55</v>
      </c>
      <c r="E50" s="45" t="s">
        <v>54</v>
      </c>
      <c r="F50" s="49" t="s">
        <v>43</v>
      </c>
      <c r="G50" s="48" t="s">
        <v>37</v>
      </c>
      <c r="H50" s="42" t="s">
        <v>53</v>
      </c>
    </row>
    <row r="51" spans="1:8" ht="24" customHeight="1" x14ac:dyDescent="0.25">
      <c r="A51" s="47">
        <v>52</v>
      </c>
      <c r="B51" s="46" t="s">
        <v>52</v>
      </c>
      <c r="C51" s="43" t="s">
        <v>51</v>
      </c>
      <c r="D51" s="45" t="s">
        <v>50</v>
      </c>
      <c r="E51" s="45" t="s">
        <v>44</v>
      </c>
      <c r="F51" s="44" t="s">
        <v>49</v>
      </c>
      <c r="G51" s="43" t="s">
        <v>37</v>
      </c>
      <c r="H51" s="42" t="s">
        <v>48</v>
      </c>
    </row>
    <row r="52" spans="1:8" ht="24" customHeight="1" x14ac:dyDescent="0.25">
      <c r="A52" s="52">
        <v>53</v>
      </c>
      <c r="B52" s="51" t="s">
        <v>47</v>
      </c>
      <c r="C52" s="48" t="s">
        <v>46</v>
      </c>
      <c r="D52" s="50" t="s">
        <v>45</v>
      </c>
      <c r="E52" s="45" t="s">
        <v>44</v>
      </c>
      <c r="F52" s="49" t="s">
        <v>43</v>
      </c>
      <c r="G52" s="48" t="s">
        <v>37</v>
      </c>
      <c r="H52" s="42" t="s">
        <v>42</v>
      </c>
    </row>
    <row r="53" spans="1:8" ht="24" customHeight="1" x14ac:dyDescent="0.25">
      <c r="A53" s="47">
        <v>54</v>
      </c>
      <c r="B53" s="46" t="s">
        <v>41</v>
      </c>
      <c r="C53" s="43" t="s">
        <v>40</v>
      </c>
      <c r="D53" s="45" t="s">
        <v>40</v>
      </c>
      <c r="E53" s="45" t="s">
        <v>39</v>
      </c>
      <c r="F53" s="44" t="s">
        <v>38</v>
      </c>
      <c r="G53" s="43" t="s">
        <v>37</v>
      </c>
      <c r="H53" s="42" t="s">
        <v>36</v>
      </c>
    </row>
  </sheetData>
  <mergeCells count="2">
    <mergeCell ref="A1:H1"/>
    <mergeCell ref="A2:H2"/>
  </mergeCells>
  <hyperlinks>
    <hyperlink ref="H4" r:id="rId1" xr:uid="{9A5EEE0B-A700-4DC0-8A99-AF67992B8577}"/>
    <hyperlink ref="H5" r:id="rId2" xr:uid="{1F4B5125-FCD3-4DD0-8507-CE6A9D440B5C}"/>
    <hyperlink ref="H6" r:id="rId3" xr:uid="{B8E5EDB3-5736-46FF-A1AA-CC0839E36F4D}"/>
    <hyperlink ref="H7" r:id="rId4" xr:uid="{F4C0333D-6A38-4CB4-B841-4D4DE3F70540}"/>
    <hyperlink ref="H8" r:id="rId5" xr:uid="{7941CB45-817D-4A5F-91DB-2F4071F3BCB0}"/>
    <hyperlink ref="H9" r:id="rId6" xr:uid="{27274846-D22E-415D-AF85-9FFEE5433E8B}"/>
    <hyperlink ref="H10" r:id="rId7" xr:uid="{7E7F8DA2-1D15-42CE-B34C-50539C48F952}"/>
    <hyperlink ref="H11" r:id="rId8" xr:uid="{FF7486CC-03B0-4BE1-B3D9-DA39279D22DE}"/>
    <hyperlink ref="H12" r:id="rId9" xr:uid="{69C27445-C073-4AB0-A887-9F9D128181F4}"/>
    <hyperlink ref="H13" r:id="rId10" xr:uid="{0E2A983B-F7A1-4F03-B25C-EF5EC46E847F}"/>
    <hyperlink ref="H14" r:id="rId11" xr:uid="{25D8565E-9F9C-4B65-8E93-A112DA295081}"/>
    <hyperlink ref="H15" r:id="rId12" xr:uid="{70B2BBCC-C5D5-48D3-A0E0-D7EE0E532ED6}"/>
    <hyperlink ref="H16" r:id="rId13" xr:uid="{5A77AE2E-E671-4633-9499-CC8214AB605D}"/>
    <hyperlink ref="H17" r:id="rId14" xr:uid="{6AC71454-353E-4E95-B3D7-0426B045A801}"/>
    <hyperlink ref="H18" r:id="rId15" xr:uid="{55323C9B-AF3D-4140-A862-18839CD1040E}"/>
    <hyperlink ref="H19" r:id="rId16" xr:uid="{B41A9580-CEE0-4B7C-8BE8-F8496B452BB2}"/>
    <hyperlink ref="H20" r:id="rId17" xr:uid="{1D4C052E-0505-4FEB-936F-F7C8DFB40E22}"/>
    <hyperlink ref="H21" r:id="rId18" xr:uid="{01618B96-98E7-4D9D-843C-5011B432D697}"/>
    <hyperlink ref="H22" r:id="rId19" xr:uid="{00F2D569-CF81-484E-8114-E0F5BA98113A}"/>
    <hyperlink ref="H23" r:id="rId20" xr:uid="{20E57912-774C-40A1-83E4-26BD76E42191}"/>
    <hyperlink ref="H24" r:id="rId21" xr:uid="{633A015A-C5FD-4B48-8A45-E860716C399A}"/>
    <hyperlink ref="H25" r:id="rId22" xr:uid="{30751304-5114-49C1-A412-CFD99B5C0877}"/>
    <hyperlink ref="H26" r:id="rId23" xr:uid="{04887ACB-2DA0-4BE7-98FC-F52D262950FB}"/>
    <hyperlink ref="H27" r:id="rId24" xr:uid="{B03FE230-1BE3-4815-84ED-06411324B210}"/>
    <hyperlink ref="H28" r:id="rId25" xr:uid="{11CAB240-D7B9-4806-8BEC-D7A436847FD5}"/>
    <hyperlink ref="H29" r:id="rId26" xr:uid="{28755A98-D373-4F3B-8372-38386EAD7205}"/>
    <hyperlink ref="H30" r:id="rId27" xr:uid="{94761B86-BFA1-47F1-B73D-701C0CB65CD9}"/>
    <hyperlink ref="H31" r:id="rId28" xr:uid="{EF9C162D-5F7E-4F78-95FB-AA8A61CEDEF2}"/>
    <hyperlink ref="H32" r:id="rId29" xr:uid="{4323DFBF-85C1-4F6C-998D-708C20D15760}"/>
    <hyperlink ref="H33" r:id="rId30" xr:uid="{597B3E14-3E77-4E1B-8BF5-1C6C27E393C6}"/>
    <hyperlink ref="H34" r:id="rId31" xr:uid="{F37289EE-0B05-4ED4-A7CE-A587ADC09492}"/>
    <hyperlink ref="H35" r:id="rId32" xr:uid="{065CCCB0-2902-4704-A49E-313700C926BF}"/>
    <hyperlink ref="H36" r:id="rId33" xr:uid="{05FF5296-CD8F-4DF5-A6F9-507ECFE823AD}"/>
    <hyperlink ref="H37" r:id="rId34" xr:uid="{DCF980D6-219F-4CF9-BC44-577588746490}"/>
    <hyperlink ref="H38" r:id="rId35" xr:uid="{5AAC438F-6216-4AA1-8A85-C57B9288E42C}"/>
    <hyperlink ref="H39" r:id="rId36" xr:uid="{DA65A24F-2BF9-4DC1-BD1F-01026287620E}"/>
    <hyperlink ref="H40" r:id="rId37" xr:uid="{D9907832-4D9F-4352-8523-8554F28921A0}"/>
    <hyperlink ref="H41" r:id="rId38" xr:uid="{2239E09C-657A-4709-96CF-E54286B3CD5B}"/>
    <hyperlink ref="H42" r:id="rId39" xr:uid="{2AE10229-0E09-41AE-AF52-6D7080FC41AD}"/>
    <hyperlink ref="H43" r:id="rId40" xr:uid="{4E7180A6-17E5-4009-848A-546A118AC5C1}"/>
    <hyperlink ref="H44" r:id="rId41" xr:uid="{2B1480D0-11D6-4C2F-8857-F0817E151496}"/>
    <hyperlink ref="H45" r:id="rId42" xr:uid="{69A37887-2D97-4B56-8DCF-6B7A0138F25F}"/>
    <hyperlink ref="H46" r:id="rId43" xr:uid="{828F5919-F9C5-4949-AA61-71BB5D861D2F}"/>
    <hyperlink ref="H49" r:id="rId44" xr:uid="{F4AA7059-F11C-479A-92AF-4B2F31AB1F82}"/>
    <hyperlink ref="H50" r:id="rId45" xr:uid="{B62C434F-201D-4995-9822-8B04DDA9C22B}"/>
    <hyperlink ref="H51" r:id="rId46" xr:uid="{BFB96B7E-945F-4D03-AB7A-E8065C7286CE}"/>
    <hyperlink ref="H52" r:id="rId47" xr:uid="{807595FE-8FEA-4599-994D-DFF2BA4B48DF}"/>
    <hyperlink ref="H53" r:id="rId48" xr:uid="{553826E6-CAB2-46A5-9FFD-ECBD8A9BF233}"/>
  </hyperlinks>
  <printOptions horizontalCentered="1" gridLines="1"/>
  <pageMargins left="0.25" right="0.25" top="0.4" bottom="0.4" header="0" footer="0"/>
  <pageSetup paperSize="9" fitToHeight="0" pageOrder="overThenDown" orientation="portrait" cellComments="atEnd"/>
  <headerFooter>
    <oddHeader>&amp;CLista de Activos</oddHeader>
    <oddFooter>&amp;CPágina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9028-9E39-4285-9E62-4B8701865339}">
  <dimension ref="A1:N74"/>
  <sheetViews>
    <sheetView showGridLines="0" tabSelected="1" zoomScaleNormal="100" workbookViewId="0">
      <selection activeCell="B20" sqref="B20:N20"/>
    </sheetView>
  </sheetViews>
  <sheetFormatPr baseColWidth="10" defaultColWidth="9.140625" defaultRowHeight="15" x14ac:dyDescent="0.25"/>
  <cols>
    <col min="1" max="1" width="2" style="59" customWidth="1"/>
    <col min="2" max="2" width="18" style="59" customWidth="1"/>
    <col min="3" max="4" width="15" style="59" customWidth="1"/>
    <col min="5" max="5" width="3" style="59" customWidth="1"/>
    <col min="6" max="7" width="15" style="59" customWidth="1"/>
    <col min="8" max="8" width="18.140625" style="59" bestFit="1" customWidth="1"/>
    <col min="9" max="9" width="3" style="59" customWidth="1"/>
    <col min="10" max="10" width="16" style="59" customWidth="1"/>
    <col min="11" max="13" width="14" style="59" customWidth="1"/>
    <col min="14" max="14" width="3" style="59" customWidth="1"/>
    <col min="15" max="16384" width="9.140625" style="59"/>
  </cols>
  <sheetData>
    <row r="1" spans="1:14" ht="21.95" customHeight="1" x14ac:dyDescent="0.25">
      <c r="A1" s="58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spans="1:14" ht="39.950000000000003" customHeight="1" thickBot="1" x14ac:dyDescent="0.3">
      <c r="A2" s="58"/>
      <c r="B2" s="125" t="s">
        <v>266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21.95" customHeight="1" x14ac:dyDescent="0.35">
      <c r="A3" s="58"/>
      <c r="B3" s="115" t="s">
        <v>267</v>
      </c>
      <c r="C3" s="97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</row>
    <row r="4" spans="1:14" ht="21.95" customHeight="1" x14ac:dyDescent="0.25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spans="1:14" ht="27.95" customHeight="1" x14ac:dyDescent="0.25">
      <c r="A5" s="58"/>
      <c r="B5" s="104" t="s">
        <v>268</v>
      </c>
      <c r="C5" s="105"/>
      <c r="D5" s="113"/>
      <c r="E5" s="58"/>
      <c r="F5" s="104" t="s">
        <v>269</v>
      </c>
      <c r="G5" s="105"/>
      <c r="H5" s="113"/>
      <c r="I5" s="58"/>
      <c r="J5" s="104" t="s">
        <v>270</v>
      </c>
      <c r="K5" s="105"/>
      <c r="L5" s="105"/>
      <c r="M5" s="113"/>
      <c r="N5" s="58"/>
    </row>
    <row r="6" spans="1:14" ht="21.95" customHeight="1" x14ac:dyDescent="0.25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</row>
    <row r="7" spans="1:14" ht="21.95" customHeight="1" thickBot="1" x14ac:dyDescent="0.3">
      <c r="A7" s="58"/>
      <c r="B7" s="112" t="s">
        <v>271</v>
      </c>
      <c r="C7" s="113"/>
      <c r="D7" s="61" t="s">
        <v>272</v>
      </c>
      <c r="E7" s="58"/>
      <c r="F7" s="114" t="s">
        <v>273</v>
      </c>
      <c r="G7" s="113"/>
      <c r="H7" s="62" t="s">
        <v>274</v>
      </c>
      <c r="I7" s="58"/>
      <c r="J7" s="112" t="s">
        <v>275</v>
      </c>
      <c r="K7" s="113"/>
      <c r="L7" s="112" t="s">
        <v>276</v>
      </c>
      <c r="M7" s="113"/>
      <c r="N7" s="58"/>
    </row>
    <row r="8" spans="1:14" ht="21.95" customHeight="1" x14ac:dyDescent="0.35">
      <c r="A8" s="58"/>
      <c r="B8" s="115">
        <v>260</v>
      </c>
      <c r="C8" s="97"/>
      <c r="D8" s="63">
        <v>0.98260000000000003</v>
      </c>
      <c r="E8" s="58"/>
      <c r="F8" s="121">
        <f>C61</f>
        <v>3.260926800856609</v>
      </c>
      <c r="G8" s="122"/>
      <c r="H8" s="64">
        <f>'Wall Street Dashboard'!C66</f>
        <v>-910.99934629129859</v>
      </c>
      <c r="I8" s="58"/>
      <c r="J8" s="123">
        <v>0</v>
      </c>
      <c r="K8" s="97"/>
      <c r="L8" s="124">
        <v>0</v>
      </c>
      <c r="M8" s="99"/>
      <c r="N8" s="58"/>
    </row>
    <row r="9" spans="1:14" ht="21.95" customHeight="1" x14ac:dyDescent="0.25">
      <c r="A9" s="58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</row>
    <row r="10" spans="1:14" ht="21.95" customHeight="1" thickBot="1" x14ac:dyDescent="0.3">
      <c r="A10" s="58"/>
      <c r="B10" s="112" t="s">
        <v>277</v>
      </c>
      <c r="C10" s="113"/>
      <c r="D10" s="61" t="s">
        <v>278</v>
      </c>
      <c r="E10" s="58"/>
      <c r="F10" s="114" t="s">
        <v>279</v>
      </c>
      <c r="G10" s="113"/>
      <c r="H10" s="62" t="s">
        <v>280</v>
      </c>
      <c r="I10" s="58"/>
      <c r="J10" s="112" t="s">
        <v>281</v>
      </c>
      <c r="K10" s="113"/>
      <c r="L10" s="112" t="s">
        <v>282</v>
      </c>
      <c r="M10" s="113"/>
      <c r="N10" s="58"/>
    </row>
    <row r="11" spans="1:14" ht="21.95" customHeight="1" x14ac:dyDescent="0.35">
      <c r="A11" s="58"/>
      <c r="B11" s="115">
        <v>265</v>
      </c>
      <c r="C11" s="97"/>
      <c r="D11" s="65">
        <f>IF(B3="CALL",C52 + C61,C52 - C61)</f>
        <v>268.26092680085662</v>
      </c>
      <c r="E11" s="58"/>
      <c r="F11" s="116">
        <f>'Wall Street Dashboard'!C63</f>
        <v>0.36600851410724833</v>
      </c>
      <c r="G11" s="117"/>
      <c r="H11" s="64">
        <f>'Wall Street Dashboard'!C67</f>
        <v>-2.4958886199761605</v>
      </c>
      <c r="I11" s="58"/>
      <c r="J11" s="118">
        <v>0</v>
      </c>
      <c r="K11" s="119"/>
      <c r="L11" s="120">
        <v>10</v>
      </c>
      <c r="M11" s="103"/>
      <c r="N11" s="58"/>
    </row>
    <row r="12" spans="1:14" ht="21.95" customHeight="1" x14ac:dyDescent="0.25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</row>
    <row r="13" spans="1:14" ht="21.95" customHeight="1" thickBot="1" x14ac:dyDescent="0.3">
      <c r="A13" s="58"/>
      <c r="B13" s="112" t="s">
        <v>283</v>
      </c>
      <c r="C13" s="113"/>
      <c r="D13" s="61" t="s">
        <v>284</v>
      </c>
      <c r="E13" s="58"/>
      <c r="F13" s="114" t="s">
        <v>285</v>
      </c>
      <c r="G13" s="113"/>
      <c r="H13" s="62" t="s">
        <v>286</v>
      </c>
      <c r="I13" s="58"/>
      <c r="J13" s="114" t="s">
        <v>287</v>
      </c>
      <c r="K13" s="113"/>
      <c r="L13" s="114" t="s">
        <v>288</v>
      </c>
      <c r="M13" s="113"/>
      <c r="N13" s="58"/>
    </row>
    <row r="14" spans="1:14" ht="21.95" customHeight="1" x14ac:dyDescent="0.35">
      <c r="A14" s="58"/>
      <c r="B14" s="107">
        <v>1</v>
      </c>
      <c r="C14" s="108"/>
      <c r="D14" s="66">
        <f>F8*100</f>
        <v>326.0926800856609</v>
      </c>
      <c r="E14" s="58"/>
      <c r="F14" s="109">
        <f>'Wall Street Dashboard'!C64</f>
        <v>2.8134683878043642E-2</v>
      </c>
      <c r="G14" s="103"/>
      <c r="H14" s="67">
        <f>'Wall Street Dashboard'!C68</f>
        <v>-4.7416090382961362E-3</v>
      </c>
      <c r="I14" s="58"/>
      <c r="J14" s="110">
        <f>B8*(1+J8)</f>
        <v>260</v>
      </c>
      <c r="K14" s="97"/>
      <c r="L14" s="111">
        <f>MAX(0.01,D8+L8)</f>
        <v>0.98260000000000003</v>
      </c>
      <c r="M14" s="99"/>
      <c r="N14" s="58"/>
    </row>
    <row r="15" spans="1:14" ht="21.95" customHeight="1" x14ac:dyDescent="0.25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</row>
    <row r="16" spans="1:14" ht="21.95" customHeight="1" thickBot="1" x14ac:dyDescent="0.3">
      <c r="A16" s="58"/>
      <c r="B16" s="112" t="s">
        <v>289</v>
      </c>
      <c r="C16" s="113"/>
      <c r="D16" s="61" t="s">
        <v>290</v>
      </c>
      <c r="E16" s="58"/>
      <c r="F16" s="114" t="s">
        <v>291</v>
      </c>
      <c r="G16" s="113"/>
      <c r="H16" s="62" t="s">
        <v>292</v>
      </c>
      <c r="I16" s="58"/>
      <c r="J16" s="114" t="s">
        <v>293</v>
      </c>
      <c r="K16" s="113"/>
      <c r="L16" s="114" t="s">
        <v>294</v>
      </c>
      <c r="M16" s="113"/>
      <c r="N16" s="58"/>
    </row>
    <row r="17" spans="1:14" ht="21.95" customHeight="1" x14ac:dyDescent="0.35">
      <c r="A17" s="58"/>
      <c r="B17" s="96">
        <v>4.1300000000000003E-2</v>
      </c>
      <c r="C17" s="97"/>
      <c r="D17" s="68" t="s">
        <v>295</v>
      </c>
      <c r="E17" s="58"/>
      <c r="F17" s="98">
        <f>'Wall Street Dashboard'!C65</f>
        <v>5.1200314783316159E-2</v>
      </c>
      <c r="G17" s="99"/>
      <c r="H17" s="69" t="str">
        <f>IF(B3="CALL",IF(Paccion&gt;Strike,"ITM",IF(Paccion&lt;Strike,"OTM","ATM")),IF(Paccion&lt;Strike,"ITM",IF(Paccion&gt;Strike,"OTM","ATM")))</f>
        <v>OTM</v>
      </c>
      <c r="I17" s="58"/>
      <c r="J17" s="100">
        <f>IF($B$3="CALL",$J$14*NORMSDIST(((LN($J$14/$B$11)+($B$17+($L$14^2)/2)*(MAX(0.0001,($B$14-$J$11)/365)))/($L$14*SQRT((MAX(0.0001,($B$14-$J$11)/365))))))-$B$11*EXP(-$B$17*(MAX(0.0001,($B$14-$J$11)/365)))*NORMSDIST((((LN($J$14/$B$11)+($B$17+($L$14^2)/2)*(MAX(0.0001,($B$14-$J$11)/365)))/($L$14*SQRT((MAX(0.0001,($B$14-$J$11)/365)))))-$L$14*SQRT((MAX(0.0001,($B$14-$J$11)/365))))),$B$11*EXP(-$B$17*(MAX(0.0001,($B$14-$J$11)/365)))*NORMSDIST(-(((LN($J$14/$B$11)+($B$17+($L$14^2)/2)*(MAX(0.0001,($B$14-$J$11)/365)))/($L$14*SQRT((MAX(0.0001,($B$14-$J$11)/365)))))-$L$14*SQRT((MAX(0.0001,($B$14-$J$11)/365)))))-$J$14*NORMSDIST(-((LN($J$14/$B$11)+($B$17+($L$14^2)/2)*(MAX(0.0001,($B$14-$J$11)/365)))/($L$14*SQRT((MAX(0.0001,($B$14-$J$11)/365)))))))</f>
        <v>3.260926800856609</v>
      </c>
      <c r="K17" s="101"/>
      <c r="L17" s="102">
        <f>(J17-F8)*L11*100</f>
        <v>0</v>
      </c>
      <c r="M17" s="103"/>
      <c r="N17" s="58"/>
    </row>
    <row r="18" spans="1:14" ht="21.95" customHeight="1" x14ac:dyDescent="0.25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</row>
    <row r="19" spans="1:14" ht="21.95" customHeight="1" x14ac:dyDescent="0.25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</row>
    <row r="20" spans="1:14" ht="21.95" customHeight="1" x14ac:dyDescent="0.25">
      <c r="A20" s="58"/>
      <c r="B20" s="104" t="s">
        <v>296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</row>
    <row r="21" spans="1:14" ht="21.95" customHeight="1" x14ac:dyDescent="0.25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70" t="s">
        <v>297</v>
      </c>
      <c r="M21" s="70" t="s">
        <v>298</v>
      </c>
      <c r="N21" s="58"/>
    </row>
    <row r="22" spans="1:14" ht="21.95" customHeight="1" x14ac:dyDescent="0.25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71" t="s">
        <v>299</v>
      </c>
      <c r="M22" s="72">
        <f>F11</f>
        <v>0.36600851410724833</v>
      </c>
      <c r="N22" s="58"/>
    </row>
    <row r="23" spans="1:14" ht="21.95" customHeight="1" x14ac:dyDescent="0.25">
      <c r="A23" s="58"/>
      <c r="B23" s="58" t="s">
        <v>271</v>
      </c>
      <c r="C23" s="58"/>
      <c r="D23" s="58" t="s">
        <v>304</v>
      </c>
      <c r="E23" s="58"/>
      <c r="F23" s="58"/>
      <c r="G23" s="58"/>
      <c r="H23" s="58"/>
      <c r="I23" s="58"/>
      <c r="J23" s="58"/>
      <c r="K23" s="58"/>
      <c r="L23" s="71" t="s">
        <v>300</v>
      </c>
      <c r="M23" s="72">
        <f>F14</f>
        <v>2.8134683878043642E-2</v>
      </c>
      <c r="N23" s="58"/>
    </row>
    <row r="24" spans="1:14" ht="21.95" customHeight="1" x14ac:dyDescent="0.25">
      <c r="A24" s="58"/>
      <c r="B24" s="58" t="s">
        <v>272</v>
      </c>
      <c r="C24" s="58"/>
      <c r="D24" s="58" t="s">
        <v>305</v>
      </c>
      <c r="E24" s="58"/>
      <c r="F24" s="58"/>
      <c r="G24" s="58"/>
      <c r="H24" s="58"/>
      <c r="I24" s="58"/>
      <c r="J24" s="58"/>
      <c r="K24" s="58"/>
      <c r="L24" s="71" t="s">
        <v>301</v>
      </c>
      <c r="M24" s="72">
        <f>F17</f>
        <v>5.1200314783316159E-2</v>
      </c>
      <c r="N24" s="58"/>
    </row>
    <row r="25" spans="1:14" ht="21.95" customHeight="1" x14ac:dyDescent="0.25">
      <c r="A25" s="58"/>
      <c r="B25" s="58" t="s">
        <v>277</v>
      </c>
      <c r="C25" s="58"/>
      <c r="D25" s="58" t="s">
        <v>306</v>
      </c>
      <c r="E25" s="58"/>
      <c r="F25" s="58"/>
      <c r="G25" s="58"/>
      <c r="H25" s="58"/>
      <c r="I25" s="58"/>
      <c r="J25" s="58"/>
      <c r="K25" s="58"/>
      <c r="L25" s="71" t="s">
        <v>302</v>
      </c>
      <c r="M25" s="72">
        <f>H11</f>
        <v>-2.4958886199761605</v>
      </c>
      <c r="N25" s="58"/>
    </row>
    <row r="26" spans="1:14" ht="21.95" customHeight="1" x14ac:dyDescent="0.25">
      <c r="A26" s="58"/>
      <c r="B26" s="58" t="s">
        <v>307</v>
      </c>
      <c r="C26" s="58"/>
      <c r="D26" s="58" t="s">
        <v>308</v>
      </c>
      <c r="E26" s="58"/>
      <c r="F26" s="58"/>
      <c r="G26" s="58"/>
      <c r="H26" s="58"/>
      <c r="I26" s="58"/>
      <c r="J26" s="58"/>
      <c r="K26" s="58"/>
      <c r="L26" s="71" t="s">
        <v>303</v>
      </c>
      <c r="M26" s="72">
        <f>H14</f>
        <v>-4.7416090382961362E-3</v>
      </c>
      <c r="N26" s="58"/>
    </row>
    <row r="27" spans="1:14" ht="21.95" customHeight="1" x14ac:dyDescent="0.25">
      <c r="A27" s="58"/>
      <c r="B27" s="58" t="s">
        <v>283</v>
      </c>
      <c r="C27" s="58"/>
      <c r="D27" s="58" t="s">
        <v>309</v>
      </c>
      <c r="E27" s="58"/>
      <c r="F27" s="58"/>
      <c r="G27" s="58"/>
      <c r="H27" s="58"/>
      <c r="I27" s="58"/>
      <c r="J27" s="58"/>
      <c r="K27" s="58"/>
      <c r="L27" s="58"/>
      <c r="M27" s="58"/>
      <c r="N27" s="58"/>
    </row>
    <row r="28" spans="1:14" ht="21.95" customHeight="1" x14ac:dyDescent="0.25">
      <c r="A28" s="58"/>
      <c r="B28" s="58" t="s">
        <v>284</v>
      </c>
      <c r="C28" s="58"/>
      <c r="D28" s="58" t="s">
        <v>310</v>
      </c>
      <c r="E28" s="58"/>
      <c r="F28" s="58"/>
      <c r="G28" s="58"/>
      <c r="H28" s="58"/>
      <c r="I28" s="58"/>
      <c r="J28" s="58"/>
      <c r="K28" s="58"/>
      <c r="L28" s="58"/>
      <c r="M28" s="58"/>
      <c r="N28" s="58"/>
    </row>
    <row r="29" spans="1:14" ht="21.95" customHeight="1" x14ac:dyDescent="0.25">
      <c r="A29" s="58"/>
      <c r="B29" s="58" t="s">
        <v>289</v>
      </c>
      <c r="C29" s="58"/>
      <c r="D29" s="58" t="s">
        <v>311</v>
      </c>
      <c r="E29" s="58"/>
      <c r="F29" s="58"/>
      <c r="G29" s="58"/>
      <c r="H29" s="58"/>
      <c r="I29" s="58"/>
      <c r="J29" s="58"/>
      <c r="K29" s="58"/>
      <c r="L29" s="58"/>
      <c r="M29" s="58"/>
      <c r="N29" s="58"/>
    </row>
    <row r="30" spans="1:14" ht="21.95" customHeight="1" x14ac:dyDescent="0.25">
      <c r="A30" s="58"/>
      <c r="B30" s="58" t="s">
        <v>290</v>
      </c>
      <c r="C30" s="58"/>
      <c r="D30" s="58" t="s">
        <v>312</v>
      </c>
      <c r="E30" s="58"/>
      <c r="F30" s="58"/>
      <c r="G30" s="58"/>
      <c r="H30" s="58"/>
      <c r="I30" s="58"/>
      <c r="J30" s="58"/>
      <c r="K30" s="58"/>
      <c r="L30" s="58"/>
      <c r="M30" s="58"/>
      <c r="N30" s="58"/>
    </row>
    <row r="31" spans="1:14" ht="21.95" customHeight="1" x14ac:dyDescent="0.25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</row>
    <row r="32" spans="1:14" ht="21.95" customHeight="1" x14ac:dyDescent="0.25">
      <c r="A32" s="58"/>
      <c r="B32" s="58" t="s">
        <v>279</v>
      </c>
      <c r="C32" s="58"/>
      <c r="D32" s="58" t="s">
        <v>313</v>
      </c>
      <c r="E32" s="58"/>
      <c r="F32" s="58"/>
      <c r="G32" s="58"/>
      <c r="H32" s="58"/>
      <c r="I32" s="58"/>
      <c r="J32" s="58"/>
      <c r="K32" s="58"/>
      <c r="L32" s="58"/>
      <c r="M32" s="58"/>
      <c r="N32" s="58"/>
    </row>
    <row r="33" spans="1:14" ht="21.95" customHeight="1" x14ac:dyDescent="0.25">
      <c r="A33" s="58"/>
      <c r="B33" s="58" t="s">
        <v>285</v>
      </c>
      <c r="C33" s="58"/>
      <c r="D33" s="58" t="s">
        <v>314</v>
      </c>
      <c r="E33" s="58"/>
      <c r="F33" s="58"/>
      <c r="G33" s="58"/>
      <c r="H33" s="58"/>
      <c r="I33" s="58"/>
      <c r="J33" s="58"/>
      <c r="K33" s="58"/>
      <c r="L33" s="58"/>
      <c r="M33" s="58"/>
      <c r="N33" s="58"/>
    </row>
    <row r="34" spans="1:14" ht="21.95" customHeight="1" x14ac:dyDescent="0.25">
      <c r="A34" s="58"/>
      <c r="B34" s="58" t="s">
        <v>291</v>
      </c>
      <c r="C34" s="58"/>
      <c r="D34" s="58" t="s">
        <v>315</v>
      </c>
      <c r="E34" s="58"/>
      <c r="F34" s="58"/>
      <c r="G34" s="58"/>
      <c r="H34" s="58"/>
      <c r="I34" s="58"/>
      <c r="J34" s="58"/>
      <c r="K34" s="58"/>
      <c r="L34" s="58"/>
      <c r="M34" s="58"/>
      <c r="N34" s="58"/>
    </row>
    <row r="35" spans="1:14" ht="21.95" customHeight="1" x14ac:dyDescent="0.25">
      <c r="A35" s="58"/>
      <c r="B35" s="58" t="s">
        <v>280</v>
      </c>
      <c r="C35" s="58"/>
      <c r="D35" s="58" t="s">
        <v>316</v>
      </c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 spans="1:14" ht="21.95" customHeight="1" x14ac:dyDescent="0.25">
      <c r="A36" s="58"/>
      <c r="B36" s="58" t="s">
        <v>286</v>
      </c>
      <c r="C36" s="58"/>
      <c r="D36" s="58" t="s">
        <v>317</v>
      </c>
      <c r="E36" s="58"/>
      <c r="F36" s="58"/>
      <c r="G36" s="58"/>
      <c r="H36" s="58"/>
      <c r="I36" s="58"/>
      <c r="J36" s="58"/>
      <c r="K36" s="58"/>
      <c r="L36" s="58"/>
      <c r="M36" s="58"/>
      <c r="N36" s="58"/>
    </row>
    <row r="37" spans="1:14" ht="21.95" customHeight="1" x14ac:dyDescent="0.25">
      <c r="A37" s="58"/>
      <c r="B37" s="58" t="s">
        <v>318</v>
      </c>
      <c r="C37" s="58"/>
      <c r="D37" s="58" t="s">
        <v>319</v>
      </c>
      <c r="E37" s="58"/>
      <c r="F37" s="58"/>
      <c r="G37" s="58"/>
      <c r="H37" s="58"/>
      <c r="I37" s="58"/>
      <c r="J37" s="58"/>
      <c r="K37" s="58"/>
      <c r="L37" s="58"/>
      <c r="M37" s="58"/>
      <c r="N37" s="58"/>
    </row>
    <row r="38" spans="1:14" ht="21.95" customHeight="1" x14ac:dyDescent="0.25">
      <c r="A38" s="58"/>
      <c r="B38" s="58" t="s">
        <v>320</v>
      </c>
      <c r="C38" s="58"/>
      <c r="D38" s="58" t="s">
        <v>321</v>
      </c>
      <c r="E38" s="58"/>
      <c r="F38" s="58"/>
      <c r="G38" s="58"/>
      <c r="H38" s="58"/>
      <c r="I38" s="58"/>
      <c r="J38" s="58"/>
      <c r="K38" s="58"/>
      <c r="L38" s="58"/>
      <c r="M38" s="58"/>
      <c r="N38" s="58"/>
    </row>
    <row r="39" spans="1:14" ht="21.95" customHeight="1" x14ac:dyDescent="0.25">
      <c r="A39" s="58"/>
      <c r="B39" s="58" t="s">
        <v>322</v>
      </c>
      <c r="C39" s="58"/>
      <c r="D39" s="58" t="s">
        <v>323</v>
      </c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 spans="1:14" ht="21.95" customHeight="1" x14ac:dyDescent="0.25">
      <c r="A40" s="58"/>
      <c r="B40" s="58" t="s">
        <v>275</v>
      </c>
      <c r="C40" s="58"/>
      <c r="D40" s="58" t="s">
        <v>324</v>
      </c>
      <c r="E40" s="58"/>
      <c r="F40" s="58"/>
      <c r="G40" s="58"/>
      <c r="H40" s="58"/>
      <c r="I40" s="58"/>
      <c r="J40" s="58"/>
      <c r="K40" s="58"/>
      <c r="L40" s="58"/>
      <c r="M40" s="58"/>
      <c r="N40" s="58"/>
    </row>
    <row r="41" spans="1:14" ht="21.95" customHeight="1" x14ac:dyDescent="0.25">
      <c r="A41" s="58"/>
      <c r="B41" s="58" t="s">
        <v>276</v>
      </c>
      <c r="C41" s="58"/>
      <c r="D41" s="58" t="s">
        <v>325</v>
      </c>
      <c r="E41" s="58"/>
      <c r="F41" s="58"/>
      <c r="G41" s="58"/>
      <c r="H41" s="58"/>
      <c r="I41" s="58"/>
      <c r="J41" s="58"/>
      <c r="K41" s="58"/>
      <c r="L41" s="58"/>
      <c r="M41" s="58"/>
      <c r="N41" s="58"/>
    </row>
    <row r="42" spans="1:14" ht="21.95" customHeight="1" x14ac:dyDescent="0.25">
      <c r="A42" s="58"/>
      <c r="B42" s="58" t="s">
        <v>281</v>
      </c>
      <c r="C42" s="58"/>
      <c r="D42" s="58" t="s">
        <v>326</v>
      </c>
      <c r="E42" s="58"/>
      <c r="F42" s="58"/>
      <c r="G42" s="58"/>
      <c r="H42" s="58"/>
      <c r="I42" s="58"/>
      <c r="J42" s="58"/>
      <c r="K42" s="58"/>
      <c r="L42" s="58"/>
      <c r="M42" s="58"/>
      <c r="N42" s="58"/>
    </row>
    <row r="43" spans="1:14" ht="21.95" customHeight="1" x14ac:dyDescent="0.25">
      <c r="A43" s="58"/>
      <c r="B43" s="58" t="s">
        <v>282</v>
      </c>
      <c r="C43" s="58"/>
      <c r="D43" s="58" t="s">
        <v>327</v>
      </c>
      <c r="E43" s="58"/>
      <c r="F43" s="58"/>
      <c r="G43" s="58"/>
      <c r="H43" s="58"/>
      <c r="I43" s="58"/>
      <c r="J43" s="58"/>
      <c r="K43" s="58"/>
      <c r="L43" s="58"/>
      <c r="M43" s="58"/>
      <c r="N43" s="58"/>
    </row>
    <row r="44" spans="1:14" ht="21.95" customHeight="1" x14ac:dyDescent="0.25">
      <c r="A44" s="58"/>
      <c r="B44" s="58" t="s">
        <v>287</v>
      </c>
      <c r="C44" s="58"/>
      <c r="D44" s="58" t="s">
        <v>328</v>
      </c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 spans="1:14" ht="21.95" customHeight="1" x14ac:dyDescent="0.25">
      <c r="A45" s="58"/>
      <c r="B45" s="58" t="s">
        <v>288</v>
      </c>
      <c r="C45" s="58"/>
      <c r="D45" s="58" t="s">
        <v>329</v>
      </c>
      <c r="E45" s="58"/>
      <c r="F45" s="58"/>
      <c r="G45" s="58"/>
      <c r="H45" s="58"/>
      <c r="I45" s="58"/>
      <c r="J45" s="58"/>
      <c r="K45" s="58"/>
      <c r="L45" s="58"/>
      <c r="M45" s="58"/>
      <c r="N45" s="58"/>
    </row>
    <row r="46" spans="1:14" ht="21.95" customHeight="1" x14ac:dyDescent="0.25">
      <c r="A46" s="58"/>
      <c r="B46" s="58" t="s">
        <v>293</v>
      </c>
      <c r="C46" s="58"/>
      <c r="D46" s="58" t="s">
        <v>330</v>
      </c>
      <c r="E46" s="58"/>
      <c r="F46" s="58"/>
      <c r="G46" s="58"/>
      <c r="H46" s="58"/>
      <c r="I46" s="58"/>
      <c r="J46" s="58"/>
      <c r="K46" s="58"/>
      <c r="L46" s="58"/>
      <c r="M46" s="58"/>
      <c r="N46" s="58"/>
    </row>
    <row r="47" spans="1:14" ht="21.95" customHeight="1" x14ac:dyDescent="0.25">
      <c r="A47" s="58"/>
      <c r="B47" s="58" t="s">
        <v>294</v>
      </c>
      <c r="C47" s="58"/>
      <c r="D47" s="58" t="s">
        <v>331</v>
      </c>
      <c r="E47" s="58"/>
      <c r="F47" s="58"/>
      <c r="G47" s="58"/>
      <c r="H47" s="58"/>
      <c r="I47" s="58"/>
      <c r="J47" s="58"/>
      <c r="K47" s="58"/>
      <c r="L47" s="58"/>
      <c r="M47" s="58"/>
      <c r="N47" s="58"/>
    </row>
    <row r="49" spans="2:6" ht="18.75" x14ac:dyDescent="0.3">
      <c r="B49" s="106" t="s">
        <v>332</v>
      </c>
      <c r="C49" s="106"/>
      <c r="D49" s="106"/>
      <c r="E49" s="106"/>
      <c r="F49" s="106"/>
    </row>
    <row r="51" spans="2:6" x14ac:dyDescent="0.25">
      <c r="B51" s="73" t="s">
        <v>333</v>
      </c>
      <c r="C51" s="74">
        <f>B8</f>
        <v>260</v>
      </c>
      <c r="D51" s="59" t="s">
        <v>334</v>
      </c>
    </row>
    <row r="52" spans="2:6" x14ac:dyDescent="0.25">
      <c r="B52" s="73" t="s">
        <v>335</v>
      </c>
      <c r="C52" s="74">
        <f>B11</f>
        <v>265</v>
      </c>
      <c r="D52" s="59" t="s">
        <v>336</v>
      </c>
    </row>
    <row r="53" spans="2:6" x14ac:dyDescent="0.25">
      <c r="B53" s="73" t="s">
        <v>337</v>
      </c>
      <c r="C53" s="75">
        <f>B14</f>
        <v>1</v>
      </c>
      <c r="D53" s="59" t="s">
        <v>338</v>
      </c>
    </row>
    <row r="54" spans="2:6" x14ac:dyDescent="0.25">
      <c r="B54" s="73" t="s">
        <v>339</v>
      </c>
      <c r="C54" s="76">
        <f>B17</f>
        <v>4.1300000000000003E-2</v>
      </c>
      <c r="D54" s="59" t="s">
        <v>340</v>
      </c>
    </row>
    <row r="55" spans="2:6" x14ac:dyDescent="0.25">
      <c r="B55" s="73" t="s">
        <v>341</v>
      </c>
      <c r="C55" s="76">
        <f>D8</f>
        <v>0.98260000000000003</v>
      </c>
      <c r="D55" s="59" t="s">
        <v>342</v>
      </c>
    </row>
    <row r="57" spans="2:6" x14ac:dyDescent="0.25">
      <c r="B57" s="77" t="s">
        <v>343</v>
      </c>
      <c r="C57" s="78">
        <f>DTE/365</f>
        <v>2.7397260273972603E-3</v>
      </c>
      <c r="D57" s="59" t="s">
        <v>344</v>
      </c>
    </row>
    <row r="58" spans="2:6" x14ac:dyDescent="0.25">
      <c r="B58" s="77" t="s">
        <v>345</v>
      </c>
      <c r="C58" s="78">
        <f>(LN(Paccion/Strike)+((Tasar+(Volatilidad^2)/2)*C57))/(Volatilidad*SQRT(C57))</f>
        <v>-0.34244367091668793</v>
      </c>
      <c r="D58" s="59" t="s">
        <v>346</v>
      </c>
    </row>
    <row r="59" spans="2:6" x14ac:dyDescent="0.25">
      <c r="B59" s="77" t="s">
        <v>347</v>
      </c>
      <c r="C59" s="78">
        <f>C58-Volatilidad*SQRT(C57)</f>
        <v>-0.39387530555040234</v>
      </c>
      <c r="D59" s="59" t="s">
        <v>348</v>
      </c>
    </row>
    <row r="61" spans="2:6" x14ac:dyDescent="0.25">
      <c r="B61" s="77" t="s">
        <v>349</v>
      </c>
      <c r="C61" s="79">
        <f>IF(B3="PUT", Strike*EXP(-Tasar*C57)*NORMSDIST(-C59)-Paccion*NORMSDIST(-C58), Paccion*NORMSDIST(C58)-Strike*EXP(-Tasar*C57)*NORMSDIST(C59))</f>
        <v>3.260926800856609</v>
      </c>
      <c r="D61" s="59" t="s">
        <v>350</v>
      </c>
    </row>
    <row r="63" spans="2:6" x14ac:dyDescent="0.25">
      <c r="B63" s="77" t="s">
        <v>299</v>
      </c>
      <c r="C63" s="80">
        <f>IF(B3="CALL",NORMSDIST(C58),NORMSDIST(C58)-1)</f>
        <v>0.36600851410724833</v>
      </c>
      <c r="D63" s="59" t="s">
        <v>351</v>
      </c>
    </row>
    <row r="64" spans="2:6" x14ac:dyDescent="0.25">
      <c r="B64" s="77" t="s">
        <v>300</v>
      </c>
      <c r="C64" s="80">
        <f>(EXP(-(C58*C58)/2)/SQRT(2*PI()))/(C51*C55*SQRT(C57))</f>
        <v>2.8134683878043642E-2</v>
      </c>
      <c r="D64" s="59" t="s">
        <v>352</v>
      </c>
    </row>
    <row r="65" spans="2:4" x14ac:dyDescent="0.25">
      <c r="B65" s="77" t="s">
        <v>301</v>
      </c>
      <c r="C65" s="80">
        <f>(C51*(EXP(-(C58*C58)/2)/SQRT(2*PI()))*SQRT(C57))/100</f>
        <v>5.1200314783316159E-2</v>
      </c>
      <c r="D65" s="59" t="s">
        <v>353</v>
      </c>
    </row>
    <row r="66" spans="2:4" x14ac:dyDescent="0.25">
      <c r="B66" s="77" t="s">
        <v>354</v>
      </c>
      <c r="C66" s="80">
        <f>-(C51*(EXP(-(C58*C58)/2)/SQRT(2*PI()))*C55)/(2*SQRT(C57))+C54*C52*EXP(-C54*C57)*NORMSDIST(-C59)</f>
        <v>-910.99934629129859</v>
      </c>
      <c r="D66" s="59" t="s">
        <v>355</v>
      </c>
    </row>
    <row r="67" spans="2:4" x14ac:dyDescent="0.25">
      <c r="B67" s="77" t="s">
        <v>356</v>
      </c>
      <c r="C67" s="80">
        <f>C66/365</f>
        <v>-2.4958886199761605</v>
      </c>
      <c r="D67" s="59" t="s">
        <v>357</v>
      </c>
    </row>
    <row r="68" spans="2:4" x14ac:dyDescent="0.25">
      <c r="B68" s="77" t="s">
        <v>303</v>
      </c>
      <c r="C68" s="80">
        <f>-Strike*C57*EXP(-Tasar*C57)*NORMSDIST(-C59)/100</f>
        <v>-4.7416090382961362E-3</v>
      </c>
      <c r="D68" s="59" t="s">
        <v>358</v>
      </c>
    </row>
    <row r="70" spans="2:4" x14ac:dyDescent="0.25">
      <c r="B70" s="81" t="s">
        <v>267</v>
      </c>
    </row>
    <row r="71" spans="2:4" x14ac:dyDescent="0.25">
      <c r="B71" s="81" t="s">
        <v>359</v>
      </c>
    </row>
    <row r="74" spans="2:4" x14ac:dyDescent="0.25">
      <c r="C74" s="82"/>
    </row>
  </sheetData>
  <mergeCells count="39">
    <mergeCell ref="B7:C7"/>
    <mergeCell ref="F7:G7"/>
    <mergeCell ref="J7:K7"/>
    <mergeCell ref="L7:M7"/>
    <mergeCell ref="B2:N2"/>
    <mergeCell ref="B3:C3"/>
    <mergeCell ref="B5:D5"/>
    <mergeCell ref="F5:H5"/>
    <mergeCell ref="J5:M5"/>
    <mergeCell ref="B8:C8"/>
    <mergeCell ref="F8:G8"/>
    <mergeCell ref="J8:K8"/>
    <mergeCell ref="L8:M8"/>
    <mergeCell ref="B10:C10"/>
    <mergeCell ref="F10:G10"/>
    <mergeCell ref="J10:K10"/>
    <mergeCell ref="L10:M10"/>
    <mergeCell ref="B11:C11"/>
    <mergeCell ref="F11:G11"/>
    <mergeCell ref="J11:K11"/>
    <mergeCell ref="L11:M11"/>
    <mergeCell ref="B13:C13"/>
    <mergeCell ref="F13:G13"/>
    <mergeCell ref="J13:K13"/>
    <mergeCell ref="L13:M13"/>
    <mergeCell ref="B49:F49"/>
    <mergeCell ref="B14:C14"/>
    <mergeCell ref="F14:G14"/>
    <mergeCell ref="J14:K14"/>
    <mergeCell ref="L14:M14"/>
    <mergeCell ref="B16:C16"/>
    <mergeCell ref="F16:G16"/>
    <mergeCell ref="J16:K16"/>
    <mergeCell ref="L16:M16"/>
    <mergeCell ref="B17:C17"/>
    <mergeCell ref="F17:G17"/>
    <mergeCell ref="J17:K17"/>
    <mergeCell ref="L17:M17"/>
    <mergeCell ref="B20:N20"/>
  </mergeCells>
  <conditionalFormatting sqref="B3:C3">
    <cfRule type="expression" dxfId="3" priority="1">
      <formula>$B$3="PUT"</formula>
    </cfRule>
    <cfRule type="expression" dxfId="2" priority="2">
      <formula>$B$3="CALL"</formula>
    </cfRule>
  </conditionalFormatting>
  <conditionalFormatting sqref="L17:M17">
    <cfRule type="cellIs" dxfId="1" priority="4" operator="lessThan">
      <formula>0</formula>
    </cfRule>
    <cfRule type="cellIs" dxfId="0" priority="5" operator="greaterThanOrEqual">
      <formula>0</formula>
    </cfRule>
  </conditionalFormatting>
  <conditionalFormatting sqref="M22:M26">
    <cfRule type="dataBar" priority="3">
      <dataBar>
        <cfvo type="num" val="-1"/>
        <cfvo type="num" val="1"/>
        <color rgb="FF00D5FF"/>
      </dataBar>
    </cfRule>
  </conditionalFormatting>
  <dataValidations count="1">
    <dataValidation type="list" allowBlank="1" showInputMessage="1" showErrorMessage="1" sqref="B3" xr:uid="{AA66A38F-6AB8-4E7C-BEF7-C0696294DEB7}">
      <formula1>$B$70:$B$71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9</vt:i4>
      </vt:variant>
    </vt:vector>
  </HeadingPairs>
  <TitlesOfParts>
    <vt:vector size="13" baseType="lpstr">
      <vt:lpstr>Estrategias</vt:lpstr>
      <vt:lpstr>IC</vt:lpstr>
      <vt:lpstr>Lista de Activos</vt:lpstr>
      <vt:lpstr>Wall Street Dashboard</vt:lpstr>
      <vt:lpstr>DTE</vt:lpstr>
      <vt:lpstr>Estrategias!Fechas_2026</vt:lpstr>
      <vt:lpstr>IC!Fechas_2026</vt:lpstr>
      <vt:lpstr>Paccion</vt:lpstr>
      <vt:lpstr>Strike</vt:lpstr>
      <vt:lpstr>Tasar</vt:lpstr>
      <vt:lpstr>Estrategias!Valores_2026</vt:lpstr>
      <vt:lpstr>IC!Valores_2026</vt:lpstr>
      <vt:lpstr>Volatilidad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Finol</cp:lastModifiedBy>
  <dcterms:modified xsi:type="dcterms:W3CDTF">2026-04-30T16:50:59Z</dcterms:modified>
</cp:coreProperties>
</file>